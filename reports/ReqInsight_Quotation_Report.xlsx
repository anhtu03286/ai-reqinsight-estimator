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amp; Summary" sheetId="1" state="visible" r:id="rId1"/>
    <sheet xmlns:r="http://schemas.openxmlformats.org/officeDocument/2006/relationships" name="🔍 Analysis Results" sheetId="2" state="visible" r:id="rId2"/>
    <sheet xmlns:r="http://schemas.openxmlformats.org/officeDocument/2006/relationships" name="🧪 Test Cases" sheetId="3" state="visible" r:id="rId3"/>
    <sheet xmlns:r="http://schemas.openxmlformats.org/officeDocument/2006/relationships" name="📊 WBS &amp; Effort" sheetId="4" state="visible" r:id="rId4"/>
    <sheet xmlns:r="http://schemas.openxmlformats.org/officeDocument/2006/relationships" name="💰 Rate Card &amp; Cost" sheetId="5" state="visible" r:id="rId5"/>
    <sheet xmlns:r="http://schemas.openxmlformats.org/officeDocument/2006/relationships" name="📝 Assumptions &amp; Exclusions" sheetId="6" state="visible" r:id="rId6"/>
  </sheets>
  <definedNames>
    <definedName name="_xlnm._FilterDatabase" localSheetId="1" hidden="1">'🔍 Analysis Results'!$A$1:$G$22</definedName>
    <definedName name="_xlnm._FilterDatabase" localSheetId="2" hidden="1">'🧪 Test Cases'!$A$1:$H$13</definedName>
  </definedNames>
  <calcPr calcId="124519" fullCalcOnLoad="1"/>
</workbook>
</file>

<file path=xl/styles.xml><?xml version="1.0" encoding="utf-8"?>
<styleSheet xmlns="http://schemas.openxmlformats.org/spreadsheetml/2006/main">
  <numFmts count="3">
    <numFmt numFmtId="164" formatCode="#,##0 &quot;USD&quot;"/>
    <numFmt numFmtId="165" formatCode="0.0"/>
    <numFmt numFmtId="166" formatCode="0&quot;%&quot;"/>
  </numFmts>
  <fonts count="13">
    <font>
      <name val="Calibri"/>
      <family val="2"/>
      <color theme="1"/>
      <sz val="11"/>
      <scheme val="minor"/>
    </font>
    <font>
      <b val="1"/>
      <color rgb="00FFFFFF"/>
      <sz val="20"/>
    </font>
    <font>
      <i val="1"/>
      <color rgb="00FFFFFF"/>
      <sz val="11"/>
    </font>
    <font>
      <b val="1"/>
      <color rgb="001F4E79"/>
      <sz val="10"/>
    </font>
    <font>
      <b val="1"/>
      <color rgb="00FFFFFF"/>
      <sz val="13"/>
    </font>
    <font>
      <b val="1"/>
      <color rgb="00FFFFFF"/>
      <sz val="11"/>
    </font>
    <font>
      <b val="1"/>
      <color rgb="00000000"/>
      <sz val="10"/>
    </font>
    <font>
      <b val="1"/>
      <sz val="10"/>
    </font>
    <font>
      <sz val="10"/>
    </font>
    <font>
      <b val="1"/>
      <color rgb="00FFFFFF"/>
      <sz val="10"/>
    </font>
    <font>
      <color rgb="00000000"/>
      <sz val="10"/>
    </font>
    <font>
      <b val="1"/>
      <color rgb="00FFFFFF"/>
      <sz val="12"/>
    </font>
    <font>
      <b val="1"/>
      <color rgb="00FFFFFF"/>
      <sz val="14"/>
    </font>
  </fonts>
  <fills count="13">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FCE4D6"/>
      </patternFill>
    </fill>
    <fill>
      <patternFill patternType="solid">
        <fgColor rgb="00FFF2CC"/>
      </patternFill>
    </fill>
    <fill>
      <patternFill patternType="solid">
        <fgColor rgb="00E2EFDA"/>
      </patternFill>
    </fill>
    <fill>
      <patternFill patternType="solid">
        <fgColor rgb="00F2F7FB"/>
      </patternFill>
    </fill>
    <fill>
      <patternFill patternType="solid">
        <fgColor rgb="00DEEAF1"/>
      </patternFill>
    </fill>
    <fill>
      <patternFill patternType="solid">
        <fgColor rgb="00F5F5F5"/>
      </patternFill>
    </fill>
    <fill>
      <patternFill patternType="solid">
        <fgColor rgb="00FFFFFF"/>
      </patternFill>
    </fill>
    <fill>
      <patternFill patternType="solid">
        <fgColor rgb="00C000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pivotButton="0" quotePrefix="0" xfId="0"/>
    <xf numFmtId="0" fontId="0" fillId="0" borderId="1" pivotButton="0" quotePrefix="0" xfId="0"/>
    <xf numFmtId="0" fontId="0" fillId="0" borderId="4" pivotButton="0" quotePrefix="0" xfId="0"/>
    <xf numFmtId="0" fontId="0" fillId="0" borderId="5"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pivotButton="0" quotePrefix="0" xfId="0"/>
    <xf numFmtId="0" fontId="0" fillId="4" borderId="1" applyAlignment="1" pivotButton="0" quotePrefix="0" xfId="0">
      <alignment horizontal="center" vertical="center" wrapText="1"/>
    </xf>
    <xf numFmtId="0" fontId="0" fillId="5" borderId="1" pivotButton="0" quotePrefix="0" xfId="0"/>
    <xf numFmtId="0" fontId="0" fillId="5" borderId="1" applyAlignment="1" pivotButton="0" quotePrefix="0" xfId="0">
      <alignment horizontal="center" vertical="center" wrapText="1"/>
    </xf>
    <xf numFmtId="0" fontId="0" fillId="6" borderId="1" pivotButton="0" quotePrefix="0" xfId="0"/>
    <xf numFmtId="0" fontId="0" fillId="6" borderId="1" applyAlignment="1" pivotButton="0" quotePrefix="0" xfId="0">
      <alignment horizontal="center" vertical="center" wrapText="1"/>
    </xf>
    <xf numFmtId="0" fontId="0" fillId="7" borderId="1" pivotButton="0" quotePrefix="0" xfId="0"/>
    <xf numFmtId="0" fontId="0" fillId="7" borderId="1" applyAlignment="1" pivotButton="0" quotePrefix="0" xfId="0">
      <alignment horizontal="center" vertical="center" wrapText="1"/>
    </xf>
    <xf numFmtId="164" fontId="0" fillId="8" borderId="1" pivotButton="0" quotePrefix="0" xfId="0"/>
    <xf numFmtId="9" fontId="0" fillId="0" borderId="1" pivotButton="0" quotePrefix="0" xfId="0"/>
    <xf numFmtId="164" fontId="6" fillId="0" borderId="1" pivotButton="0" quotePrefix="0" xfId="0"/>
    <xf numFmtId="164" fontId="0" fillId="0" borderId="1" pivotButton="0" quotePrefix="0" xfId="0"/>
    <xf numFmtId="0" fontId="5" fillId="2" borderId="1" pivotButton="0" quotePrefix="0" xfId="0"/>
    <xf numFmtId="164" fontId="5" fillId="2" borderId="1" pivotButton="0" quotePrefix="0" xfId="0"/>
    <xf numFmtId="0" fontId="5" fillId="2"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9" borderId="1" applyAlignment="1" pivotButton="0" quotePrefix="0" xfId="0">
      <alignment horizontal="left" vertical="center" wrapText="1"/>
    </xf>
    <xf numFmtId="0" fontId="7" fillId="9" borderId="1" applyAlignment="1" pivotButton="0" quotePrefix="0" xfId="0">
      <alignment horizontal="left" vertical="center" wrapText="1"/>
    </xf>
    <xf numFmtId="0" fontId="8" fillId="0" borderId="1" applyAlignment="1" pivotButton="0" quotePrefix="0" xfId="0">
      <alignment horizontal="left"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7" borderId="1" applyAlignment="1" pivotButton="0" quotePrefix="0" xfId="0">
      <alignment horizontal="left" vertical="center" wrapText="1"/>
    </xf>
    <xf numFmtId="0" fontId="7"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8"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5" fillId="2" borderId="1" applyAlignment="1" pivotButton="0" quotePrefix="0" xfId="0">
      <alignment horizontal="left" vertical="center" wrapText="1"/>
    </xf>
    <xf numFmtId="165" fontId="5"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3" borderId="1" applyAlignment="1" pivotButton="0" quotePrefix="0" xfId="0">
      <alignment horizontal="left" vertical="center" wrapText="1"/>
    </xf>
    <xf numFmtId="165" fontId="9" fillId="3" borderId="1" applyAlignment="1" pivotButton="0" quotePrefix="0" xfId="0">
      <alignment horizontal="center" vertical="center" wrapText="1"/>
    </xf>
    <xf numFmtId="0" fontId="9" fillId="3" borderId="1" pivotButton="0" quotePrefix="0" xfId="0"/>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165" fontId="10" fillId="11" borderId="1" applyAlignment="1" pivotButton="0" quotePrefix="0" xfId="0">
      <alignment horizontal="center" vertical="center" wrapText="1"/>
    </xf>
    <xf numFmtId="166" fontId="10"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8" fillId="4" borderId="1" applyAlignment="1" pivotButton="0" quotePrefix="0" xfId="0">
      <alignment horizontal="center" vertical="center" wrapText="1"/>
    </xf>
    <xf numFmtId="164" fontId="8"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11" fillId="2" borderId="0" applyAlignment="1" pivotButton="0" quotePrefix="0" xfId="0">
      <alignment horizontal="center" vertical="center" wrapText="1"/>
    </xf>
    <xf numFmtId="0" fontId="7" fillId="4" borderId="1" pivotButton="0" quotePrefix="0" xfId="0"/>
    <xf numFmtId="165" fontId="0" fillId="4" borderId="1" applyAlignment="1" pivotButton="0" quotePrefix="0" xfId="0">
      <alignment horizontal="center" vertical="center" wrapText="1"/>
    </xf>
    <xf numFmtId="164" fontId="0" fillId="4" borderId="1" pivotButton="0" quotePrefix="0" xfId="0"/>
    <xf numFmtId="166" fontId="0" fillId="4" borderId="1" pivotButton="0" quotePrefix="0" xfId="0"/>
    <xf numFmtId="0" fontId="7" fillId="11" borderId="1" pivotButton="0" quotePrefix="0" xfId="0"/>
    <xf numFmtId="165" fontId="0" fillId="11" borderId="1" applyAlignment="1" pivotButton="0" quotePrefix="0" xfId="0">
      <alignment horizontal="center" vertical="center" wrapText="1"/>
    </xf>
    <xf numFmtId="164" fontId="0" fillId="11" borderId="1" pivotButton="0" quotePrefix="0" xfId="0"/>
    <xf numFmtId="166" fontId="0" fillId="11" borderId="1" pivotButton="0" quotePrefix="0" xfId="0"/>
    <xf numFmtId="164" fontId="5" fillId="2" borderId="1" applyAlignment="1" pivotButton="0" quotePrefix="0" xfId="0">
      <alignment horizontal="center" vertical="center" wrapText="1"/>
    </xf>
    <xf numFmtId="0" fontId="12" fillId="2" borderId="0" applyAlignment="1" pivotButton="0" quotePrefix="0" xfId="0">
      <alignment horizontal="center" vertical="center" wrapText="1"/>
    </xf>
    <xf numFmtId="0" fontId="11" fillId="3" borderId="0" applyAlignment="1" pivotButton="0" quotePrefix="0" xfId="0">
      <alignment horizontal="center" vertical="center" wrapText="1"/>
    </xf>
    <xf numFmtId="0" fontId="7" fillId="4" borderId="1" applyAlignment="1" pivotButton="0" quotePrefix="0" xfId="0">
      <alignment horizontal="left" vertical="center" wrapText="1"/>
    </xf>
    <xf numFmtId="0" fontId="11" fillId="12" borderId="0" applyAlignment="1" pivotButton="0" quotePrefix="0" xfId="0">
      <alignment horizontal="center" vertical="center" wrapText="1"/>
    </xf>
    <xf numFmtId="0" fontId="5"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40" customHeight="1">
      <c r="A1" s="1" t="inlineStr">
        <is>
          <t>AI ReqInsight &amp; Estimator</t>
        </is>
      </c>
    </row>
    <row r="2" ht="22" customHeight="1">
      <c r="A2" s="2" t="inlineStr">
        <is>
          <t>Requirements Analysis &amp; Quotation Report — docs/specs/requirement.md</t>
        </is>
      </c>
    </row>
    <row r="4">
      <c r="A4" s="3" t="inlineStr">
        <is>
          <t>Project</t>
        </is>
      </c>
      <c r="B4" s="4" t="inlineStr">
        <is>
          <t>AI ReqInsight &amp; Estimator</t>
        </is>
      </c>
      <c r="C4" s="5" t="n"/>
      <c r="D4" s="5" t="n"/>
      <c r="E4" s="5" t="n"/>
      <c r="F4" s="5" t="n"/>
      <c r="G4" s="5" t="n"/>
      <c r="H4" s="6" t="n"/>
    </row>
    <row r="5">
      <c r="A5" s="3" t="inlineStr">
        <is>
          <t>Document</t>
        </is>
      </c>
      <c r="B5" s="4" t="inlineStr">
        <is>
          <t>docs/specs/requirement.md — SRS v1.1.0</t>
        </is>
      </c>
      <c r="C5" s="5" t="n"/>
      <c r="D5" s="5" t="n"/>
      <c r="E5" s="5" t="n"/>
      <c r="F5" s="5" t="n"/>
      <c r="G5" s="5" t="n"/>
      <c r="H5" s="6" t="n"/>
    </row>
    <row r="6">
      <c r="A6" s="3" t="inlineStr">
        <is>
          <t>Generated</t>
        </is>
      </c>
      <c r="B6" s="4" t="inlineStr">
        <is>
          <t>2026-06-21</t>
        </is>
      </c>
      <c r="C6" s="5" t="n"/>
      <c r="D6" s="5" t="n"/>
      <c r="E6" s="5" t="n"/>
      <c r="F6" s="5" t="n"/>
      <c r="G6" s="5" t="n"/>
      <c r="H6" s="6" t="n"/>
    </row>
    <row r="7">
      <c r="A7" s="3" t="inlineStr">
        <is>
          <t>Analyzed by</t>
        </is>
      </c>
      <c r="B7" s="4" t="inlineStr">
        <is>
          <t>Claude Sonnet 4.6 (claude-sonnet-4-6)</t>
        </is>
      </c>
      <c r="C7" s="5" t="n"/>
      <c r="D7" s="5" t="n"/>
      <c r="E7" s="5" t="n"/>
      <c r="F7" s="5" t="n"/>
      <c r="G7" s="5" t="n"/>
      <c r="H7" s="6" t="n"/>
    </row>
    <row r="8">
      <c r="A8" s="3" t="inlineStr">
        <is>
          <t>Currency</t>
        </is>
      </c>
      <c r="B8" s="4" t="inlineStr">
        <is>
          <t>USD</t>
        </is>
      </c>
      <c r="C8" s="5" t="n"/>
      <c r="D8" s="5" t="n"/>
      <c r="E8" s="5" t="n"/>
      <c r="F8" s="5" t="n"/>
      <c r="G8" s="5" t="n"/>
      <c r="H8" s="6" t="n"/>
    </row>
    <row r="10" ht="24" customHeight="1">
      <c r="A10" s="7" t="inlineStr">
        <is>
          <t>Analysis Summary</t>
        </is>
      </c>
    </row>
    <row r="11">
      <c r="A11" s="8" t="inlineStr">
        <is>
          <t>Category</t>
        </is>
      </c>
      <c r="B11" s="8" t="inlineStr">
        <is>
          <t>Count</t>
        </is>
      </c>
    </row>
    <row r="12">
      <c r="A12" s="9" t="inlineStr">
        <is>
          <t>Clarification Items</t>
        </is>
      </c>
      <c r="B12" s="10" t="n">
        <v>6</v>
      </c>
    </row>
    <row r="13">
      <c r="A13" s="11" t="inlineStr">
        <is>
          <t>Risks Identified</t>
        </is>
      </c>
      <c r="B13" s="12" t="n">
        <v>6</v>
      </c>
    </row>
    <row r="14">
      <c r="A14" s="13" t="inlineStr">
        <is>
          <t>Gaps Found</t>
        </is>
      </c>
      <c r="B14" s="14" t="n">
        <v>6</v>
      </c>
    </row>
    <row r="15">
      <c r="A15" s="15" t="inlineStr">
        <is>
          <t>Suggestions</t>
        </is>
      </c>
      <c r="B15" s="16" t="n">
        <v>3</v>
      </c>
    </row>
    <row r="16">
      <c r="A16" s="9" t="inlineStr">
        <is>
          <t>Test Cases</t>
        </is>
      </c>
      <c r="B16" s="10" t="n">
        <v>12</v>
      </c>
    </row>
    <row r="17">
      <c r="A17" s="9" t="inlineStr">
        <is>
          <t>WBS Tasks</t>
        </is>
      </c>
      <c r="B17" s="10" t="n">
        <v>23</v>
      </c>
    </row>
    <row r="20" ht="24" customHeight="1">
      <c r="A20" s="7" t="inlineStr">
        <is>
          <t>Cost Summary</t>
        </is>
      </c>
    </row>
    <row r="21">
      <c r="A21" s="8" t="inlineStr">
        <is>
          <t>Epic</t>
        </is>
      </c>
      <c r="B21" s="8" t="inlineStr">
        <is>
          <t>Dev Cost</t>
        </is>
      </c>
      <c r="C21" s="8" t="inlineStr">
        <is>
          <t>QA Cost</t>
        </is>
      </c>
      <c r="D21" s="8" t="inlineStr">
        <is>
          <t>BA Cost</t>
        </is>
      </c>
      <c r="E21" s="8" t="inlineStr">
        <is>
          <t>PM Cost</t>
        </is>
      </c>
      <c r="F21" s="8" t="inlineStr">
        <is>
          <t>Subtotal</t>
        </is>
      </c>
      <c r="G21" s="8" t="inlineStr">
        <is>
          <t>Buffer</t>
        </is>
      </c>
      <c r="H21" s="8" t="inlineStr">
        <is>
          <t>Total</t>
        </is>
      </c>
    </row>
    <row r="22">
      <c r="A22" s="9" t="inlineStr">
        <is>
          <t>Foundation &amp; Infrastructure</t>
        </is>
      </c>
      <c r="B22" s="17" t="n">
        <v>4500</v>
      </c>
      <c r="C22" s="17" t="n">
        <v>1575</v>
      </c>
      <c r="D22" s="17" t="n">
        <v>210</v>
      </c>
      <c r="E22" s="17" t="n">
        <v>0</v>
      </c>
      <c r="F22" s="17" t="n">
        <v>6285</v>
      </c>
      <c r="G22" s="18" t="inlineStr">
        <is>
          <t>14%</t>
        </is>
      </c>
      <c r="H22" s="19" t="n">
        <v>7149.1875</v>
      </c>
    </row>
    <row r="23">
      <c r="A23" s="9" t="inlineStr">
        <is>
          <t>Document Ingestion &amp; Parsing</t>
        </is>
      </c>
      <c r="B23" s="20" t="n">
        <v>6500</v>
      </c>
      <c r="C23" s="20" t="n">
        <v>2275</v>
      </c>
      <c r="D23" s="20" t="n">
        <v>210</v>
      </c>
      <c r="E23" s="20" t="n">
        <v>0</v>
      </c>
      <c r="F23" s="20" t="n">
        <v>8985</v>
      </c>
      <c r="G23" s="18" t="inlineStr">
        <is>
          <t>19%</t>
        </is>
      </c>
      <c r="H23" s="19" t="n">
        <v>10669.6875</v>
      </c>
    </row>
    <row r="24">
      <c r="A24" s="9" t="inlineStr">
        <is>
          <t>AI Analysis Core</t>
        </is>
      </c>
      <c r="B24" s="17" t="n">
        <v>9000</v>
      </c>
      <c r="C24" s="17" t="n">
        <v>2625</v>
      </c>
      <c r="D24" s="17" t="n">
        <v>1890</v>
      </c>
      <c r="E24" s="17" t="n">
        <v>250</v>
      </c>
      <c r="F24" s="17" t="n">
        <v>13765</v>
      </c>
      <c r="G24" s="18" t="inlineStr">
        <is>
          <t>25%</t>
        </is>
      </c>
      <c r="H24" s="19" t="n">
        <v>17206.25</v>
      </c>
    </row>
    <row r="25">
      <c r="A25" s="9" t="inlineStr">
        <is>
          <t>Collaboration &amp; Review</t>
        </is>
      </c>
      <c r="B25" s="20" t="n">
        <v>3500</v>
      </c>
      <c r="C25" s="20" t="n">
        <v>1225</v>
      </c>
      <c r="D25" s="20" t="n">
        <v>840</v>
      </c>
      <c r="E25" s="20" t="n">
        <v>250</v>
      </c>
      <c r="F25" s="20" t="n">
        <v>5815</v>
      </c>
      <c r="G25" s="18" t="inlineStr">
        <is>
          <t>12%</t>
        </is>
      </c>
      <c r="H25" s="19" t="n">
        <v>6493.416666666667</v>
      </c>
    </row>
    <row r="26">
      <c r="A26" s="9" t="inlineStr">
        <is>
          <t>Estimation &amp; Export</t>
        </is>
      </c>
      <c r="B26" s="17" t="n">
        <v>7250</v>
      </c>
      <c r="C26" s="17" t="n">
        <v>2100</v>
      </c>
      <c r="D26" s="17" t="n">
        <v>1470</v>
      </c>
      <c r="E26" s="17" t="n">
        <v>500</v>
      </c>
      <c r="F26" s="17" t="n">
        <v>11320</v>
      </c>
      <c r="G26" s="18" t="inlineStr">
        <is>
          <t>20%</t>
        </is>
      </c>
      <c r="H26" s="19" t="n">
        <v>13584</v>
      </c>
    </row>
    <row r="27">
      <c r="A27" s="9" t="inlineStr">
        <is>
          <t>Non-Functional &amp; DevOps</t>
        </is>
      </c>
      <c r="B27" s="20" t="n">
        <v>3500</v>
      </c>
      <c r="C27" s="20" t="n">
        <v>875</v>
      </c>
      <c r="D27" s="20" t="n">
        <v>0</v>
      </c>
      <c r="E27" s="20" t="n">
        <v>250</v>
      </c>
      <c r="F27" s="20" t="n">
        <v>4625</v>
      </c>
      <c r="G27" s="18" t="inlineStr">
        <is>
          <t>12%</t>
        </is>
      </c>
      <c r="H27" s="19" t="n">
        <v>5164.583333333333</v>
      </c>
    </row>
    <row r="28">
      <c r="A28" s="21" t="inlineStr">
        <is>
          <t>GRAND TOTAL</t>
        </is>
      </c>
      <c r="B28" s="22">
        <f>SUM(B22:B27)</f>
        <v/>
      </c>
      <c r="C28" s="22">
        <f>SUM(C22:C27)</f>
        <v/>
      </c>
      <c r="D28" s="22">
        <f>SUM(D22:D27)</f>
        <v/>
      </c>
      <c r="E28" s="22">
        <f>SUM(E22:E27)</f>
        <v/>
      </c>
      <c r="F28" s="22">
        <f>SUM(F22:F27)</f>
        <v/>
      </c>
      <c r="G28" s="22">
        <f>SUM(G22:G27)</f>
        <v/>
      </c>
      <c r="H28" s="22">
        <f>SUM(H22:H27)</f>
        <v/>
      </c>
    </row>
  </sheetData>
  <mergeCells count="11">
    <mergeCell ref="B8:H8"/>
    <mergeCell ref="A20:H20"/>
    <mergeCell ref="B4:H4"/>
    <mergeCell ref="A2:H2"/>
    <mergeCell ref="A10:H10"/>
    <mergeCell ref="A11"/>
    <mergeCell ref="B6:H6"/>
    <mergeCell ref="B11"/>
    <mergeCell ref="B7:H7"/>
    <mergeCell ref="A1:H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2" customWidth="1" min="3" max="3"/>
    <col width="16" customWidth="1" min="4" max="4"/>
    <col width="40" customWidth="1" min="5" max="5"/>
    <col width="70" customWidth="1" min="6" max="6"/>
    <col width="50" customWidth="1" min="7" max="7"/>
  </cols>
  <sheetData>
    <row r="1" ht="22" customHeight="1">
      <c r="A1" s="23" t="inlineStr">
        <is>
          <t>ID</t>
        </is>
      </c>
      <c r="B1" s="23" t="inlineStr">
        <is>
          <t>Type</t>
        </is>
      </c>
      <c r="C1" s="23" t="inlineStr">
        <is>
          <t>Severity</t>
        </is>
      </c>
      <c r="D1" s="23" t="inlineStr">
        <is>
          <t>Module</t>
        </is>
      </c>
      <c r="E1" s="23" t="inlineStr">
        <is>
          <t>Title</t>
        </is>
      </c>
      <c r="F1" s="23" t="inlineStr">
        <is>
          <t>Description</t>
        </is>
      </c>
      <c r="G1" s="23" t="inlineStr">
        <is>
          <t>Recommendation</t>
        </is>
      </c>
    </row>
    <row r="2" ht="60" customHeight="1">
      <c r="A2" s="24" t="inlineStr">
        <is>
          <t>CLR-01</t>
        </is>
      </c>
      <c r="B2" s="25" t="inlineStr">
        <is>
          <t>Clarification</t>
        </is>
      </c>
      <c r="C2" s="26" t="inlineStr">
        <is>
          <t>High</t>
        </is>
      </c>
      <c r="D2" s="27" t="inlineStr">
        <is>
          <t>Ingestion</t>
        </is>
      </c>
      <c r="E2" s="28" t="inlineStr">
        <is>
          <t>Language support scope undefined</t>
        </is>
      </c>
      <c r="F2" s="29" t="inlineStr">
        <is>
          <t>SRS states the system 'prioritizes English and Vietnamese' but does not define what happens with other languages (Japanese, Chinese, etc.). Does the system reject them or process with degraded quality?</t>
        </is>
      </c>
      <c r="G2" s="29" t="inlineStr">
        <is>
          <t>Define an explicit supported-language list and the fallback behavior for unsupported languages.</t>
        </is>
      </c>
    </row>
    <row r="3" ht="60" customHeight="1">
      <c r="A3" s="24" t="inlineStr">
        <is>
          <t>CLR-02</t>
        </is>
      </c>
      <c r="B3" s="25" t="inlineStr">
        <is>
          <t>Clarification</t>
        </is>
      </c>
      <c r="C3" s="26" t="inlineStr">
        <is>
          <t>High</t>
        </is>
      </c>
      <c r="D3" s="27" t="inlineStr">
        <is>
          <t>Performance</t>
        </is>
      </c>
      <c r="E3" s="28" t="inlineStr">
        <is>
          <t>'50 concurrent sessions' scope unclear</t>
        </is>
      </c>
      <c r="F3" s="29" t="inlineStr">
        <is>
          <t>NFR-02 states 50 simultaneous sessions but does not specify whether this is per-organization or system-wide. A single enterprise client could exhaust the quota.</t>
        </is>
      </c>
      <c r="G3" s="29" t="inlineStr">
        <is>
          <t>Clarify: 50 per org, or 50 system-wide? Define per-org limits separately.</t>
        </is>
      </c>
    </row>
    <row r="4" ht="60" customHeight="1">
      <c r="A4" s="24" t="inlineStr">
        <is>
          <t>CLR-03</t>
        </is>
      </c>
      <c r="B4" s="25" t="inlineStr">
        <is>
          <t>Clarification</t>
        </is>
      </c>
      <c r="C4" s="30" t="inlineStr">
        <is>
          <t>Medium</t>
        </is>
      </c>
      <c r="D4" s="27" t="inlineStr">
        <is>
          <t>Performance</t>
        </is>
      </c>
      <c r="E4" s="28" t="inlineStr">
        <is>
          <t>Definition of 'page' for NFR-01 ambiguous</t>
        </is>
      </c>
      <c r="F4" s="29" t="inlineStr">
        <is>
          <t>NFR-01 defines '&lt;50 pages must complete in ≤2 minutes'. A 'page' has no technical definition — is it 500 words, A4 paper, or a document page object?</t>
        </is>
      </c>
      <c r="G4" s="29" t="inlineStr">
        <is>
          <t>Redefine NFR-01 using token count (e.g., '&lt;25,000 tokens ≤ 2 minutes') for testability.</t>
        </is>
      </c>
    </row>
    <row r="5" ht="60" customHeight="1">
      <c r="A5" s="24" t="inlineStr">
        <is>
          <t>CLR-04</t>
        </is>
      </c>
      <c r="B5" s="25" t="inlineStr">
        <is>
          <t>Clarification</t>
        </is>
      </c>
      <c r="C5" s="30" t="inlineStr">
        <is>
          <t>Medium</t>
        </is>
      </c>
      <c r="D5" s="27" t="inlineStr">
        <is>
          <t>Estimation</t>
        </is>
      </c>
      <c r="E5" s="28" t="inlineStr">
        <is>
          <t>Historical data source for FR-12 not specified</t>
        </is>
      </c>
      <c r="F5" s="29" t="inlineStr">
        <is>
          <t>FR-12 (Historical Learning) requires a database of past completed projects for semantic matching. No specification on how this data is seeded initially or who maintains it.</t>
        </is>
      </c>
      <c r="G5" s="29" t="inlineStr">
        <is>
          <t>Define the data migration plan: manual import, CSV upload, or auto-capture from approved WBS items going forward.</t>
        </is>
      </c>
    </row>
    <row r="6" ht="60" customHeight="1">
      <c r="A6" s="24" t="inlineStr">
        <is>
          <t>CLR-05</t>
        </is>
      </c>
      <c r="B6" s="25" t="inlineStr">
        <is>
          <t>Clarification</t>
        </is>
      </c>
      <c r="C6" s="30" t="inlineStr">
        <is>
          <t>Medium</t>
        </is>
      </c>
      <c r="D6" s="27" t="inlineStr">
        <is>
          <t>Collaboration</t>
        </is>
      </c>
      <c r="E6" s="28" t="inlineStr">
        <is>
          <t>Deep-link citation mechanism not defined</t>
        </is>
      </c>
      <c r="F6" s="29" t="inlineStr">
        <is>
          <t>FR-10 requires clicking an AI finding to highlight the original document segment. No specification on whether this is a page scroll, character offset highlight, or external link.</t>
        </is>
      </c>
      <c r="G6" s="29" t="inlineStr">
        <is>
          <t>Specify the citation format: (page, character_offset) or (chunk_id, section_header). Impacts parser and frontend implementation.</t>
        </is>
      </c>
    </row>
    <row r="7" ht="60" customHeight="1">
      <c r="A7" s="24" t="inlineStr">
        <is>
          <t>CLR-06</t>
        </is>
      </c>
      <c r="B7" s="25" t="inlineStr">
        <is>
          <t>Clarification</t>
        </is>
      </c>
      <c r="C7" s="31" t="inlineStr">
        <is>
          <t>Low</t>
        </is>
      </c>
      <c r="D7" s="27" t="inlineStr">
        <is>
          <t>Estimation</t>
        </is>
      </c>
      <c r="E7" s="28" t="inlineStr">
        <is>
          <t>Excel Tab 1 chart types not specified</t>
        </is>
      </c>
      <c r="F7" s="29" t="inlineStr">
        <is>
          <t>Appendix specifies Tab 1 must contain 'charts breaking down cost and effort by module' but does not specify chart types (pie, bar, stacked bar), axes, or which data to plot.</t>
        </is>
      </c>
      <c r="G7" s="29" t="inlineStr">
        <is>
          <t>Provide a mockup or specify chart type, data source columns, and grouping dimension.</t>
        </is>
      </c>
    </row>
    <row r="8" ht="60" customHeight="1">
      <c r="A8" s="32" t="inlineStr">
        <is>
          <t>RSK-01</t>
        </is>
      </c>
      <c r="B8" s="26" t="inlineStr">
        <is>
          <t>Risk</t>
        </is>
      </c>
      <c r="C8" s="26" t="inlineStr">
        <is>
          <t>Critical</t>
        </is>
      </c>
      <c r="D8" s="33" t="inlineStr">
        <is>
          <t>Security</t>
        </is>
      </c>
      <c r="E8" s="34" t="inlineStr">
        <is>
          <t>NFR-04 compliance: standard Claude API may violate no-training-data clause</t>
        </is>
      </c>
      <c r="F8" s="29" t="inlineStr">
        <is>
          <t>NFR-04 mandates that client documents must NOT be used as LLM training data and requires an Enterprise API with privacy commitment. Standard Anthropic API (Pay-as-you-go) does not guarantee this. Using it in production violates the SRS security requirement.</t>
        </is>
      </c>
      <c r="G8" s="29" t="inlineStr">
        <is>
          <t>Confirm Claude Enterprise contract (API tier with data privacy addendum) before production deployment. Document the contract clause in AGENTS.md.</t>
        </is>
      </c>
    </row>
    <row r="9" ht="60" customHeight="1">
      <c r="A9" s="32" t="inlineStr">
        <is>
          <t>RSK-02</t>
        </is>
      </c>
      <c r="B9" s="26" t="inlineStr">
        <is>
          <t>Risk</t>
        </is>
      </c>
      <c r="C9" s="26" t="inlineStr">
        <is>
          <t>High</t>
        </is>
      </c>
      <c r="D9" s="33" t="inlineStr">
        <is>
          <t>Performance</t>
        </is>
      </c>
      <c r="E9" s="34" t="inlineStr">
        <is>
          <t>Single RQ worker cannot support 50 concurrent sessions (NFR-02)</t>
        </is>
      </c>
      <c r="F9" s="29" t="inlineStr">
        <is>
          <t>Current architecture uses a single RQ worker process. 50 concurrent document analysis sessions would queue serially, violating the NFR-02 performance requirement.</t>
        </is>
      </c>
      <c r="G9" s="29" t="inlineStr">
        <is>
          <t>Deploy minimum 10 RQ workers with Kubernetes HPA or use a managed queue (AWS SQS + Lambda) for elastic scaling.</t>
        </is>
      </c>
    </row>
    <row r="10" ht="60" customHeight="1">
      <c r="A10" s="32" t="inlineStr">
        <is>
          <t>RSK-03</t>
        </is>
      </c>
      <c r="B10" s="26" t="inlineStr">
        <is>
          <t>Risk</t>
        </is>
      </c>
      <c r="C10" s="26" t="inlineStr">
        <is>
          <t>High</t>
        </is>
      </c>
      <c r="D10" s="33" t="inlineStr">
        <is>
          <t>AI Core</t>
        </is>
      </c>
      <c r="E10" s="34" t="inlineStr">
        <is>
          <t>Cold-start problem for FR-12 Historical Learning</t>
        </is>
      </c>
      <c r="F10" s="29" t="inlineStr">
        <is>
          <t>Semantic matching against historical projects requires an existing database. On day 1 there is no historical data, so effort estimates will be purely AI-generated with no calibration — potentially inaccurate for client-facing quotations.</t>
        </is>
      </c>
      <c r="G10" s="29" t="inlineStr">
        <is>
          <t>Seed with at least 20 historical projects before go-live. Define a manual import tool (CSV/Excel) for retrospective data entry.</t>
        </is>
      </c>
    </row>
    <row r="11" ht="60" customHeight="1">
      <c r="A11" s="32" t="inlineStr">
        <is>
          <t>RSK-04</t>
        </is>
      </c>
      <c r="B11" s="26" t="inlineStr">
        <is>
          <t>Risk</t>
        </is>
      </c>
      <c r="C11" s="26" t="inlineStr">
        <is>
          <t>High</t>
        </is>
      </c>
      <c r="D11" s="33" t="inlineStr">
        <is>
          <t>Ingestion</t>
        </is>
      </c>
      <c r="E11" s="34" t="inlineStr">
        <is>
          <t>OCR accuracy risk for complex PDF layouts</t>
        </is>
      </c>
      <c r="F11" s="29" t="inlineStr">
        <is>
          <t>Tesseract OCR (current implementation) has poor accuracy on PDFs with multi-column layouts, embedded tables, rotated text, or low-resolution scans. Missed text leads to incomplete analysis results.</t>
        </is>
      </c>
      <c r="G11" s="29" t="inlineStr">
        <is>
          <t>Set minimum resolution threshold (300 DPI). Plan AWS Textract upgrade path for production. Add OCR confidence score to Document record.</t>
        </is>
      </c>
    </row>
    <row r="12" ht="60" customHeight="1">
      <c r="A12" s="32" t="inlineStr">
        <is>
          <t>RSK-05</t>
        </is>
      </c>
      <c r="B12" s="26" t="inlineStr">
        <is>
          <t>Risk</t>
        </is>
      </c>
      <c r="C12" s="30" t="inlineStr">
        <is>
          <t>Medium</t>
        </is>
      </c>
      <c r="D12" s="33" t="inlineStr">
        <is>
          <t>AI Core</t>
        </is>
      </c>
      <c r="E12" s="34" t="inlineStr">
        <is>
          <t>LLM token context limit may truncate large documents</t>
        </is>
      </c>
      <c r="F12" s="29" t="inlineStr">
        <is>
          <t>Claude Sonnet has a 200K token context window. A 50-page requirements document with tables can exceed this when combined with the analysis prompt. Silent truncation would produce incomplete analysis without error.</t>
        </is>
      </c>
      <c r="G12" s="29" t="inlineStr">
        <is>
          <t>Implement chunk batching with sliding window. Add explicit validation: if total tokens &gt; 150K, split into multiple LLM calls and merge results.</t>
        </is>
      </c>
    </row>
    <row r="13" ht="60" customHeight="1">
      <c r="A13" s="32" t="inlineStr">
        <is>
          <t>RSK-06</t>
        </is>
      </c>
      <c r="B13" s="26" t="inlineStr">
        <is>
          <t>Risk</t>
        </is>
      </c>
      <c r="C13" s="30" t="inlineStr">
        <is>
          <t>Medium</t>
        </is>
      </c>
      <c r="D13" s="33" t="inlineStr">
        <is>
          <t>Integration</t>
        </is>
      </c>
      <c r="E13" s="34" t="inlineStr">
        <is>
          <t>Jira/Linear/ClickUp API rate limits not handled</t>
        </is>
      </c>
      <c r="F13" s="29" t="inlineStr">
        <is>
          <t>PM tool sync pushes all WBS items in a loop without rate-limit awareness. Jira Cloud API allows 10 req/sec. A WBS with 100 items will trigger rate limiting and fail silently on items after the limit.</t>
        </is>
      </c>
      <c r="G13" s="29" t="inlineStr">
        <is>
          <t>Implement exponential backoff + retry in all PM adapters. Add batch size configuration per adapter.</t>
        </is>
      </c>
    </row>
    <row r="14" ht="60" customHeight="1">
      <c r="A14" s="35" t="inlineStr">
        <is>
          <t>GAP-01</t>
        </is>
      </c>
      <c r="B14" s="30" t="inlineStr">
        <is>
          <t>Gap</t>
        </is>
      </c>
      <c r="C14" s="26" t="inlineStr">
        <is>
          <t>High</t>
        </is>
      </c>
      <c r="D14" s="36" t="inlineStr">
        <is>
          <t>Auth</t>
        </is>
      </c>
      <c r="E14" s="37" t="inlineStr">
        <is>
          <t>User management / registration flow missing</t>
        </is>
      </c>
      <c r="F14" s="29" t="inlineStr">
        <is>
          <t>SRS defines 6 user roles (BA, PM, Presales, Tech Lead, QA, Admin) and RBAC rules but contains no specification for how users are created, onboarded, or deactivated. No self-registration, no invite flow, no admin user management screen defined.</t>
        </is>
      </c>
      <c r="G14" s="29" t="inlineStr">
        <is>
          <t>Add user management module: admin creates users, sets roles, can deactivate. Minimum viable: POST /users endpoint restricted to admin role.</t>
        </is>
      </c>
    </row>
    <row r="15" ht="60" customHeight="1">
      <c r="A15" s="35" t="inlineStr">
        <is>
          <t>GAP-02</t>
        </is>
      </c>
      <c r="B15" s="30" t="inlineStr">
        <is>
          <t>Gap</t>
        </is>
      </c>
      <c r="C15" s="26" t="inlineStr">
        <is>
          <t>High</t>
        </is>
      </c>
      <c r="D15" s="36" t="inlineStr">
        <is>
          <t>Collaboration</t>
        </is>
      </c>
      <c r="E15" s="37" t="inlineStr">
        <is>
          <t>No notification mechanism for async job completion</t>
        </is>
      </c>
      <c r="F15" s="29" t="inlineStr">
        <is>
          <t>Document parsing and AI analysis are async (RQ jobs). SRS does not specify how the user is notified when results are ready. Without notification, users must manually poll or refresh the page.</t>
        </is>
      </c>
      <c r="G15" s="29" t="inlineStr">
        <is>
          <t>Implement at minimum: WebSocket push notification when analysis job completes. Secondary: email notification for long-running jobs.</t>
        </is>
      </c>
    </row>
    <row r="16" ht="60" customHeight="1">
      <c r="A16" s="35" t="inlineStr">
        <is>
          <t>GAP-03</t>
        </is>
      </c>
      <c r="B16" s="30" t="inlineStr">
        <is>
          <t>Gap</t>
        </is>
      </c>
      <c r="C16" s="30" t="inlineStr">
        <is>
          <t>Medium</t>
        </is>
      </c>
      <c r="D16" s="36" t="inlineStr">
        <is>
          <t>Ingestion</t>
        </is>
      </c>
      <c r="E16" s="37" t="inlineStr">
        <is>
          <t>Word (.docx) export for Clarification Items not implemented</t>
        </is>
      </c>
      <c r="F16" s="29" t="inlineStr">
        <is>
          <t>SRS Output Component 1 states: 'Allows export to a Word file of survey questions'. Current implementation only exports Excel. No Word/DOCX export exists.</t>
        </is>
      </c>
      <c r="G16" s="29" t="inlineStr">
        <is>
          <t>Add POST /projects/{id}/export/clarifications endpoint returning a .docx file using python-docx. Format: numbered list of questions by module.</t>
        </is>
      </c>
    </row>
    <row r="17" ht="60" customHeight="1">
      <c r="A17" s="35" t="inlineStr">
        <is>
          <t>GAP-04</t>
        </is>
      </c>
      <c r="B17" s="30" t="inlineStr">
        <is>
          <t>Gap</t>
        </is>
      </c>
      <c r="C17" s="30" t="inlineStr">
        <is>
          <t>Medium</t>
        </is>
      </c>
      <c r="D17" s="36" t="inlineStr">
        <is>
          <t>AI Core</t>
        </is>
      </c>
      <c r="E17" s="37" t="inlineStr">
        <is>
          <t>Delta Analysis (FR-06) not implemented</t>
        </is>
      </c>
      <c r="F17" s="29" t="inlineStr">
        <is>
          <t>FR-06 requires comparing v1 vs v2 of a requirements document to extract added/deleted/changed sections and warn of quotation impact. Current implementation only analyzes single documents, no version comparison.</t>
        </is>
      </c>
      <c r="G17" s="29" t="inlineStr">
        <is>
          <t>Add version_label field usage and a diff endpoint: POST /projects/{id}/documents/delta with {v1_id, v2_id} body.</t>
        </is>
      </c>
    </row>
    <row r="18" ht="60" customHeight="1">
      <c r="A18" s="35" t="inlineStr">
        <is>
          <t>GAP-05</t>
        </is>
      </c>
      <c r="B18" s="30" t="inlineStr">
        <is>
          <t>Gap</t>
        </is>
      </c>
      <c r="C18" s="30" t="inlineStr">
        <is>
          <t>Medium</t>
        </is>
      </c>
      <c r="D18" s="36" t="inlineStr">
        <is>
          <t>Estimation</t>
        </is>
      </c>
      <c r="E18" s="37" t="inlineStr">
        <is>
          <t>Tab 1 Cover &amp; Dashboard not implemented in Excel export</t>
        </is>
      </c>
      <c r="F18" s="29" t="inlineStr">
        <is>
          <t>Appendix specifies Tab 1 with project summary, total cost, timeline, and charts. Current Excel export has 4 tabs but Tab 1 is 'Rate Card', not 'Cover &amp; Dashboard'. Charts are completely missing.</t>
        </is>
      </c>
      <c r="G18" s="29" t="inlineStr">
        <is>
          <t>Add Cover sheet as Tab 1 with: project name, generation date, total cost formula, summary table, and a bar/pie chart of effort by module.</t>
        </is>
      </c>
    </row>
    <row r="19" ht="60" customHeight="1">
      <c r="A19" s="35" t="inlineStr">
        <is>
          <t>GAP-06</t>
        </is>
      </c>
      <c r="B19" s="30" t="inlineStr">
        <is>
          <t>Gap</t>
        </is>
      </c>
      <c r="C19" s="31" t="inlineStr">
        <is>
          <t>Low</t>
        </is>
      </c>
      <c r="D19" s="36" t="inlineStr">
        <is>
          <t>General</t>
        </is>
      </c>
      <c r="E19" s="37" t="inlineStr">
        <is>
          <t>No data retention / document deletion policy</t>
        </is>
      </c>
      <c r="F19" s="29" t="inlineStr">
        <is>
          <t>SRS does not specify how long documents and analysis results are retained. No DELETE endpoint for documents or projects. Storage costs will grow unbounded in production.</t>
        </is>
      </c>
      <c r="G19" s="29" t="inlineStr">
        <is>
          <t>Define retention policy (e.g., 1 year). Implement soft delete on Document and Project models (already have deleted_at column). Add scheduled cleanup job.</t>
        </is>
      </c>
    </row>
    <row r="20" ht="60" customHeight="1">
      <c r="A20" s="38" t="inlineStr">
        <is>
          <t>SUG-01</t>
        </is>
      </c>
      <c r="B20" s="31" t="inlineStr">
        <is>
          <t>Suggestion</t>
        </is>
      </c>
      <c r="C20" s="30" t="inlineStr">
        <is>
          <t>Medium</t>
        </is>
      </c>
      <c r="D20" s="39" t="inlineStr">
        <is>
          <t>Collaboration</t>
        </is>
      </c>
      <c r="E20" s="40" t="inlineStr">
        <is>
          <t>Use WebSocket for real-time analysis progress</t>
        </is>
      </c>
      <c r="F20" s="29" t="inlineStr">
        <is>
          <t>Current architecture uses polling (GET /documents/{id}/status). For better UX, replace with WebSocket push: client subscribes to job channel, server pushes progress updates (10%, 50%, 100%).</t>
        </is>
      </c>
      <c r="G20" s="29" t="inlineStr">
        <is>
          <t>Add FastAPI WebSocket endpoint /ws/jobs/{job_id}. Use Redis pub/sub to bridge RQ worker → WebSocket server.</t>
        </is>
      </c>
    </row>
    <row r="21" ht="60" customHeight="1">
      <c r="A21" s="38" t="inlineStr">
        <is>
          <t>SUG-02</t>
        </is>
      </c>
      <c r="B21" s="31" t="inlineStr">
        <is>
          <t>Suggestion</t>
        </is>
      </c>
      <c r="C21" s="30" t="inlineStr">
        <is>
          <t>Medium</t>
        </is>
      </c>
      <c r="D21" s="39" t="inlineStr">
        <is>
          <t>Estimation</t>
        </is>
      </c>
      <c r="E21" s="40" t="inlineStr">
        <is>
          <t>Auto-seed historical data from approved WBS items</t>
        </is>
      </c>
      <c r="F21" s="29" t="inlineStr">
        <is>
          <t>Each completed project's approved WBS items should automatically become historical reference data for FR-12 semantic matching. Add a 'mark as completed' action on projects that archives WBS for reuse.</t>
        </is>
      </c>
      <c r="G21" s="29" t="inlineStr">
        <is>
          <t>Add Project.status = 'completed' transition. On completion, copy WBS items to a historical_wbs_items table with embedding for future semantic search.</t>
        </is>
      </c>
    </row>
    <row r="22" ht="60" customHeight="1">
      <c r="A22" s="38" t="inlineStr">
        <is>
          <t>SUG-03</t>
        </is>
      </c>
      <c r="B22" s="31" t="inlineStr">
        <is>
          <t>Suggestion</t>
        </is>
      </c>
      <c r="C22" s="31" t="inlineStr">
        <is>
          <t>Low</t>
        </is>
      </c>
      <c r="D22" s="39" t="inlineStr">
        <is>
          <t>Ingestion</t>
        </is>
      </c>
      <c r="E22" s="40" t="inlineStr">
        <is>
          <t>Store character offsets in chunks for deep-link citation</t>
        </is>
      </c>
      <c r="F22" s="29" t="inlineStr">
        <is>
          <t>Current chunker stores page_number and section_header but not character-level position. FR-10 deep-link citation requires knowing exactly where in the document a finding came from.</t>
        </is>
      </c>
      <c r="G22" s="29" t="inlineStr">
        <is>
          <t>Add char_start, char_end to DocumentChunk model. Update parsers to track position while extracting text.</t>
        </is>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2" customWidth="1" min="3" max="3"/>
    <col width="16" customWidth="1" min="4" max="4"/>
    <col width="40" customWidth="1" min="5" max="5"/>
    <col width="55" customWidth="1" min="6" max="6"/>
    <col width="45" customWidth="1" min="7" max="7"/>
    <col width="22" customWidth="1" min="8" max="8"/>
  </cols>
  <sheetData>
    <row r="1" ht="22" customHeight="1">
      <c r="A1" s="23" t="inlineStr">
        <is>
          <t>ID</t>
        </is>
      </c>
      <c r="B1" s="23" t="inlineStr">
        <is>
          <t>Module</t>
        </is>
      </c>
      <c r="C1" s="23" t="inlineStr">
        <is>
          <t>Priority</t>
        </is>
      </c>
      <c r="D1" s="23" t="inlineStr">
        <is>
          <t>Type</t>
        </is>
      </c>
      <c r="E1" s="23" t="inlineStr">
        <is>
          <t>Title</t>
        </is>
      </c>
      <c r="F1" s="23" t="inlineStr">
        <is>
          <t>Test Steps</t>
        </is>
      </c>
      <c r="G1" s="23" t="inlineStr">
        <is>
          <t>Expected Result</t>
        </is>
      </c>
      <c r="H1" s="23" t="inlineStr">
        <is>
          <t>Acceptance Criteria</t>
        </is>
      </c>
    </row>
    <row r="2" ht="55" customHeight="1">
      <c r="A2" s="41" t="inlineStr">
        <is>
          <t>TC-01</t>
        </is>
      </c>
      <c r="B2" s="42" t="inlineStr">
        <is>
          <t>Ingestion</t>
        </is>
      </c>
      <c r="C2" s="26" t="inlineStr">
        <is>
          <t>High</t>
        </is>
      </c>
      <c r="D2" s="43" t="inlineStr">
        <is>
          <t>Happy Path</t>
        </is>
      </c>
      <c r="E2" s="44" t="inlineStr">
        <is>
          <t>Upload valid PDF (text-searchable)</t>
        </is>
      </c>
      <c r="F2" s="29" t="inlineStr">
        <is>
          <t>1. Login as BA
2. POST /projects/{id}/documents with valid PDF ≤50MB
3. Poll status until 'done'</t>
        </is>
      </c>
      <c r="G2" s="29" t="inlineStr">
        <is>
          <t>Document record created, parse_status='done', chunks in DB with content</t>
        </is>
      </c>
      <c r="H2" s="43" t="inlineStr">
        <is>
          <t>FR-01, FR-03</t>
        </is>
      </c>
    </row>
    <row r="3" ht="55" customHeight="1">
      <c r="A3" s="45" t="inlineStr">
        <is>
          <t>TC-02</t>
        </is>
      </c>
      <c r="B3" s="46" t="inlineStr">
        <is>
          <t>Ingestion</t>
        </is>
      </c>
      <c r="C3" s="26" t="inlineStr">
        <is>
          <t>High</t>
        </is>
      </c>
      <c r="D3" s="47" t="inlineStr">
        <is>
          <t>Edge Case</t>
        </is>
      </c>
      <c r="E3" s="48" t="inlineStr">
        <is>
          <t>Upload file exceeding 50MB limit</t>
        </is>
      </c>
      <c r="F3" s="29" t="inlineStr">
        <is>
          <t>1. POST /projects/{id}/documents with file &gt; 50MB</t>
        </is>
      </c>
      <c r="G3" s="29" t="inlineStr">
        <is>
          <t>HTTP 400 with error code DOCUMENT_TOO_LARGE</t>
        </is>
      </c>
      <c r="H3" s="47" t="inlineStr">
        <is>
          <t>BR-01</t>
        </is>
      </c>
    </row>
    <row r="4" ht="55" customHeight="1">
      <c r="A4" s="41" t="inlineStr">
        <is>
          <t>TC-03</t>
        </is>
      </c>
      <c r="B4" s="42" t="inlineStr">
        <is>
          <t>Ingestion</t>
        </is>
      </c>
      <c r="C4" s="26" t="inlineStr">
        <is>
          <t>High</t>
        </is>
      </c>
      <c r="D4" s="43" t="inlineStr">
        <is>
          <t>Edge Case</t>
        </is>
      </c>
      <c r="E4" s="44" t="inlineStr">
        <is>
          <t>Upload unsupported file format (.exe)</t>
        </is>
      </c>
      <c r="F4" s="29" t="inlineStr">
        <is>
          <t>1. POST /projects/{id}/documents with .exe file</t>
        </is>
      </c>
      <c r="G4" s="29" t="inlineStr">
        <is>
          <t>HTTP 400 with error code UNSUPPORTED_FORMAT</t>
        </is>
      </c>
      <c r="H4" s="43" t="inlineStr">
        <is>
          <t>BR-02</t>
        </is>
      </c>
    </row>
    <row r="5" ht="55" customHeight="1">
      <c r="A5" s="45" t="inlineStr">
        <is>
          <t>TC-04</t>
        </is>
      </c>
      <c r="B5" s="46" t="inlineStr">
        <is>
          <t>Ingestion</t>
        </is>
      </c>
      <c r="C5" s="30" t="inlineStr">
        <is>
          <t>Medium</t>
        </is>
      </c>
      <c r="D5" s="47" t="inlineStr">
        <is>
          <t>Happy Path</t>
        </is>
      </c>
      <c r="E5" s="48" t="inlineStr">
        <is>
          <t>Upload scanned PDF triggers OCR</t>
        </is>
      </c>
      <c r="F5" s="29" t="inlineStr">
        <is>
          <t>1. Upload image-only PDF (no text layer)
2. Poll status until 'done'</t>
        </is>
      </c>
      <c r="G5" s="29" t="inlineStr">
        <is>
          <t>Document.ocr_applied=True, text extracted and chunks created</t>
        </is>
      </c>
      <c r="H5" s="47" t="inlineStr">
        <is>
          <t>FR-02</t>
        </is>
      </c>
    </row>
    <row r="6" ht="55" customHeight="1">
      <c r="A6" s="41" t="inlineStr">
        <is>
          <t>TC-05</t>
        </is>
      </c>
      <c r="B6" s="42" t="inlineStr">
        <is>
          <t>Security</t>
        </is>
      </c>
      <c r="C6" s="26" t="inlineStr">
        <is>
          <t>Critical</t>
        </is>
      </c>
      <c r="D6" s="43" t="inlineStr">
        <is>
          <t>Security</t>
        </is>
      </c>
      <c r="E6" s="44" t="inlineStr">
        <is>
          <t>Cross-tenant access returns 404 not 403</t>
        </is>
      </c>
      <c r="F6" s="29" t="inlineStr">
        <is>
          <t>1. Login as user from Org-A
2. GET /projects/{id} where project belongs to Org-B</t>
        </is>
      </c>
      <c r="G6" s="29" t="inlineStr">
        <is>
          <t>HTTP 404 (not 403 — must not reveal resource existence)</t>
        </is>
      </c>
      <c r="H6" s="43" t="inlineStr">
        <is>
          <t>KL-P-001, AGENTS.md Hard Rule #9</t>
        </is>
      </c>
    </row>
    <row r="7" ht="55" customHeight="1">
      <c r="A7" s="45" t="inlineStr">
        <is>
          <t>TC-06</t>
        </is>
      </c>
      <c r="B7" s="46" t="inlineStr">
        <is>
          <t>Auth</t>
        </is>
      </c>
      <c r="C7" s="26" t="inlineStr">
        <is>
          <t>High</t>
        </is>
      </c>
      <c r="D7" s="47" t="inlineStr">
        <is>
          <t>Security</t>
        </is>
      </c>
      <c r="E7" s="48" t="inlineStr">
        <is>
          <t>BA cannot approve Risk items</t>
        </is>
      </c>
      <c r="F7" s="29" t="inlineStr">
        <is>
          <t>1. Login as BA
2. POST /analysis/{risk_result_id}/approve</t>
        </is>
      </c>
      <c r="G7" s="29" t="inlineStr">
        <is>
          <t>HTTP 403 FORBIDDEN</t>
        </is>
      </c>
      <c r="H7" s="47" t="inlineStr">
        <is>
          <t>BR-12</t>
        </is>
      </c>
    </row>
    <row r="8" ht="55" customHeight="1">
      <c r="A8" s="41" t="inlineStr">
        <is>
          <t>TC-07</t>
        </is>
      </c>
      <c r="B8" s="42" t="inlineStr">
        <is>
          <t>Auth</t>
        </is>
      </c>
      <c r="C8" s="26" t="inlineStr">
        <is>
          <t>High</t>
        </is>
      </c>
      <c r="D8" s="43" t="inlineStr">
        <is>
          <t>Security</t>
        </is>
      </c>
      <c r="E8" s="44" t="inlineStr">
        <is>
          <t>PM can approve Clarification items</t>
        </is>
      </c>
      <c r="F8" s="29" t="inlineStr">
        <is>
          <t>1. Login as PM
2. POST /analysis/{clarification_id}/approve</t>
        </is>
      </c>
      <c r="G8" s="29" t="inlineStr">
        <is>
          <t>HTTP 200, status='approved'</t>
        </is>
      </c>
      <c r="H8" s="43" t="inlineStr">
        <is>
          <t>BR-12</t>
        </is>
      </c>
    </row>
    <row r="9" ht="55" customHeight="1">
      <c r="A9" s="45" t="inlineStr">
        <is>
          <t>TC-08</t>
        </is>
      </c>
      <c r="B9" s="46" t="inlineStr">
        <is>
          <t>Collaboration</t>
        </is>
      </c>
      <c r="C9" s="30" t="inlineStr">
        <is>
          <t>Medium</t>
        </is>
      </c>
      <c r="D9" s="47" t="inlineStr">
        <is>
          <t>Edge Case</t>
        </is>
      </c>
      <c r="E9" s="48" t="inlineStr">
        <is>
          <t>Approve already-approved item returns 409</t>
        </is>
      </c>
      <c r="F9" s="29" t="inlineStr">
        <is>
          <t>1. Approve a result
2. Attempt to approve same result again</t>
        </is>
      </c>
      <c r="G9" s="29" t="inlineStr">
        <is>
          <t>HTTP 409 ALREADY_APPROVED</t>
        </is>
      </c>
      <c r="H9" s="47" t="inlineStr">
        <is>
          <t>BR-11</t>
        </is>
      </c>
    </row>
    <row r="10" ht="55" customHeight="1">
      <c r="A10" s="41" t="inlineStr">
        <is>
          <t>TC-09</t>
        </is>
      </c>
      <c r="B10" s="42" t="inlineStr">
        <is>
          <t>Estimation</t>
        </is>
      </c>
      <c r="C10" s="26" t="inlineStr">
        <is>
          <t>High</t>
        </is>
      </c>
      <c r="D10" s="43" t="inlineStr">
        <is>
          <t>Happy Path</t>
        </is>
      </c>
      <c r="E10" s="44" t="inlineStr">
        <is>
          <t>Excel export uses formulas not hardcoded values</t>
        </is>
      </c>
      <c r="F10" s="29" t="inlineStr">
        <is>
          <t>1. Generate WBS
2. GET /projects/{id}/export/quotation
3. Open file, change daily rate</t>
        </is>
      </c>
      <c r="G10" s="29" t="inlineStr">
        <is>
          <t>Total cost updates automatically — all cost cells are formulas</t>
        </is>
      </c>
      <c r="H10" s="43" t="inlineStr">
        <is>
          <t>FR-13, KL-P-002</t>
        </is>
      </c>
    </row>
    <row r="11" ht="55" customHeight="1">
      <c r="A11" s="45" t="inlineStr">
        <is>
          <t>TC-10</t>
        </is>
      </c>
      <c r="B11" s="46" t="inlineStr">
        <is>
          <t>Integration</t>
        </is>
      </c>
      <c r="C11" s="30" t="inlineStr">
        <is>
          <t>Medium</t>
        </is>
      </c>
      <c r="D11" s="47" t="inlineStr">
        <is>
          <t>Happy Path</t>
        </is>
      </c>
      <c r="E11" s="48" t="inlineStr">
        <is>
          <t>Sync WBS to Jira creates issues</t>
        </is>
      </c>
      <c r="F11" s="29" t="inlineStr">
        <is>
          <t>1. Approve WBS items
2. POST /projects/{id}/sync/pm with tool='jira'</t>
        </is>
      </c>
      <c r="G11" s="29" t="inlineStr">
        <is>
          <t>Jira issues created, response contains created IDs</t>
        </is>
      </c>
      <c r="H11" s="47" t="inlineStr">
        <is>
          <t>FR-14</t>
        </is>
      </c>
    </row>
    <row r="12" ht="55" customHeight="1">
      <c r="A12" s="41" t="inlineStr">
        <is>
          <t>TC-11</t>
        </is>
      </c>
      <c r="B12" s="42" t="inlineStr">
        <is>
          <t>AI Core</t>
        </is>
      </c>
      <c r="C12" s="26" t="inlineStr">
        <is>
          <t>High</t>
        </is>
      </c>
      <c r="D12" s="43" t="inlineStr">
        <is>
          <t>Happy Path</t>
        </is>
      </c>
      <c r="E12" s="44" t="inlineStr">
        <is>
          <t>Analysis produces all 5 result types</t>
        </is>
      </c>
      <c r="F12" s="29" t="inlineStr">
        <is>
          <t>1. Upload requirement.md
2. Wait for analysis
3. GET /projects/{id}/analysis</t>
        </is>
      </c>
      <c r="G12" s="29" t="inlineStr">
        <is>
          <t>Results include clarification, risk, gap, suggestion, test_case types</t>
        </is>
      </c>
      <c r="H12" s="43" t="inlineStr">
        <is>
          <t>FR-04, FR-05</t>
        </is>
      </c>
    </row>
    <row r="13" ht="55" customHeight="1">
      <c r="A13" s="45" t="inlineStr">
        <is>
          <t>TC-12</t>
        </is>
      </c>
      <c r="B13" s="46" t="inlineStr">
        <is>
          <t>Performance</t>
        </is>
      </c>
      <c r="C13" s="30" t="inlineStr">
        <is>
          <t>Medium</t>
        </is>
      </c>
      <c r="D13" s="47" t="inlineStr">
        <is>
          <t>Performance</t>
        </is>
      </c>
      <c r="E13" s="48" t="inlineStr">
        <is>
          <t>50-page document analyzed in ≤2 minutes</t>
        </is>
      </c>
      <c r="F13" s="29" t="inlineStr">
        <is>
          <t>1. Upload 50-page PDF
2. Measure time from upload to status='done'</t>
        </is>
      </c>
      <c r="G13" s="29" t="inlineStr">
        <is>
          <t>Total elapsed time ≤ 120 seconds</t>
        </is>
      </c>
      <c r="H13" s="47" t="inlineStr">
        <is>
          <t>NFR-01</t>
        </is>
      </c>
    </row>
  </sheetData>
  <autoFilter ref="A1:H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4" customWidth="1" min="4" max="4"/>
    <col width="12" customWidth="1" min="5" max="5"/>
    <col width="12" customWidth="1" min="6" max="6"/>
    <col width="10" customWidth="1" min="7" max="7"/>
    <col width="10" customWidth="1" min="8" max="8"/>
    <col width="10" customWidth="1" min="9" max="9"/>
  </cols>
  <sheetData>
    <row r="1" ht="22" customHeight="1">
      <c r="A1" s="23" t="inlineStr">
        <is>
          <t>Code</t>
        </is>
      </c>
      <c r="B1" s="23" t="inlineStr">
        <is>
          <t>Type</t>
        </is>
      </c>
      <c r="C1" s="23" t="inlineStr">
        <is>
          <t>Title</t>
        </is>
      </c>
      <c r="D1" s="23" t="inlineStr">
        <is>
          <t>Complexity</t>
        </is>
      </c>
      <c r="E1" s="23" t="inlineStr">
        <is>
          <t>Dev (md)</t>
        </is>
      </c>
      <c r="F1" s="23" t="inlineStr">
        <is>
          <t>QA (md)</t>
        </is>
      </c>
      <c r="G1" s="23" t="inlineStr">
        <is>
          <t>BA (md)</t>
        </is>
      </c>
      <c r="H1" s="23" t="inlineStr">
        <is>
          <t>PM (md)</t>
        </is>
      </c>
      <c r="I1" s="23" t="inlineStr">
        <is>
          <t>Buffer %</t>
        </is>
      </c>
    </row>
    <row r="2" ht="20" customHeight="1">
      <c r="A2" s="23" t="inlineStr">
        <is>
          <t>E1</t>
        </is>
      </c>
      <c r="B2" s="23" t="inlineStr">
        <is>
          <t>Epic</t>
        </is>
      </c>
      <c r="C2" s="49" t="inlineStr">
        <is>
          <t>Foundation &amp; Infrastructure</t>
        </is>
      </c>
      <c r="D2" s="23" t="inlineStr"/>
      <c r="E2" s="50">
        <f>E4+E5+E6+E7</f>
        <v/>
      </c>
      <c r="F2" s="50">
        <f>F4+F5+F6+F7</f>
        <v/>
      </c>
      <c r="G2" s="50">
        <f>G4+G5+G6+G7</f>
        <v/>
      </c>
      <c r="H2" s="50">
        <f>H4+H5+H6+H7</f>
        <v/>
      </c>
      <c r="I2" s="21" t="n"/>
    </row>
    <row r="3" ht="20" customHeight="1">
      <c r="A3" s="51" t="inlineStr">
        <is>
          <t>S1.1</t>
        </is>
      </c>
      <c r="B3" s="51" t="inlineStr">
        <is>
          <t>Story</t>
        </is>
      </c>
      <c r="C3" s="52" t="inlineStr">
        <is>
          <t xml:space="preserve">  Database, Auth &amp; Tenant Setup</t>
        </is>
      </c>
      <c r="D3" s="51" t="inlineStr"/>
      <c r="E3" s="53">
        <f>E4+E5+E6+E7</f>
        <v/>
      </c>
      <c r="F3" s="53">
        <f>F4+F5+F6+F7</f>
        <v/>
      </c>
      <c r="G3" s="53">
        <f>G4+G5+G6+G7</f>
        <v/>
      </c>
      <c r="H3" s="53">
        <f>H4+H5+H6+H7</f>
        <v/>
      </c>
      <c r="I3" s="54" t="n"/>
    </row>
    <row r="4" ht="20" customHeight="1">
      <c r="A4" s="55" t="inlineStr">
        <is>
          <t>T1.1.1</t>
        </is>
      </c>
      <c r="B4" s="55" t="inlineStr">
        <is>
          <t>Task</t>
        </is>
      </c>
      <c r="C4" s="56" t="inlineStr">
        <is>
          <t xml:space="preserve">    PostgreSQL + pgvector migrations</t>
        </is>
      </c>
      <c r="D4" s="55" t="inlineStr">
        <is>
          <t>Simple</t>
        </is>
      </c>
      <c r="E4" s="57" t="n">
        <v>2</v>
      </c>
      <c r="F4" s="57" t="n">
        <v>1</v>
      </c>
      <c r="G4" s="57" t="n">
        <v>0</v>
      </c>
      <c r="H4" s="57" t="n">
        <v>0</v>
      </c>
      <c r="I4" s="58" t="n">
        <v>10</v>
      </c>
    </row>
    <row r="5" ht="20" customHeight="1">
      <c r="A5" s="55" t="inlineStr">
        <is>
          <t>T1.1.2</t>
        </is>
      </c>
      <c r="B5" s="55" t="inlineStr">
        <is>
          <t>Task</t>
        </is>
      </c>
      <c r="C5" s="56" t="inlineStr">
        <is>
          <t xml:space="preserve">    JWT auth + RBAC middleware</t>
        </is>
      </c>
      <c r="D5" s="55" t="inlineStr">
        <is>
          <t>Medium</t>
        </is>
      </c>
      <c r="E5" s="57" t="n">
        <v>3</v>
      </c>
      <c r="F5" s="57" t="n">
        <v>1.5</v>
      </c>
      <c r="G5" s="57" t="n">
        <v>0.5</v>
      </c>
      <c r="H5" s="57" t="n">
        <v>0</v>
      </c>
      <c r="I5" s="58" t="n">
        <v>15</v>
      </c>
    </row>
    <row r="6" ht="20" customHeight="1">
      <c r="A6" s="55" t="inlineStr">
        <is>
          <t>T1.1.3</t>
        </is>
      </c>
      <c r="B6" s="55" t="inlineStr">
        <is>
          <t>Task</t>
        </is>
      </c>
      <c r="C6" s="56" t="inlineStr">
        <is>
          <t xml:space="preserve">    Tenant isolation middleware + RLS</t>
        </is>
      </c>
      <c r="D6" s="55" t="inlineStr">
        <is>
          <t>Medium</t>
        </is>
      </c>
      <c r="E6" s="57" t="n">
        <v>2</v>
      </c>
      <c r="F6" s="57" t="n">
        <v>1</v>
      </c>
      <c r="G6" s="57" t="n">
        <v>0</v>
      </c>
      <c r="H6" s="57" t="n">
        <v>0</v>
      </c>
      <c r="I6" s="58" t="n">
        <v>20</v>
      </c>
    </row>
    <row r="7" ht="20" customHeight="1">
      <c r="A7" s="55" t="inlineStr">
        <is>
          <t>T1.1.4</t>
        </is>
      </c>
      <c r="B7" s="55" t="inlineStr">
        <is>
          <t>Task</t>
        </is>
      </c>
      <c r="C7" s="56" t="inlineStr">
        <is>
          <t xml:space="preserve">    MinIO storage + Redis queue setup</t>
        </is>
      </c>
      <c r="D7" s="55" t="inlineStr">
        <is>
          <t>Simple</t>
        </is>
      </c>
      <c r="E7" s="57" t="n">
        <v>2</v>
      </c>
      <c r="F7" s="57" t="n">
        <v>1</v>
      </c>
      <c r="G7" s="57" t="n">
        <v>0</v>
      </c>
      <c r="H7" s="57" t="n">
        <v>0</v>
      </c>
      <c r="I7" s="58" t="n">
        <v>10</v>
      </c>
    </row>
    <row r="8" ht="20" customHeight="1">
      <c r="A8" s="23" t="inlineStr">
        <is>
          <t>E2</t>
        </is>
      </c>
      <c r="B8" s="23" t="inlineStr">
        <is>
          <t>Epic</t>
        </is>
      </c>
      <c r="C8" s="49" t="inlineStr">
        <is>
          <t>Document Ingestion &amp; Parsing</t>
        </is>
      </c>
      <c r="D8" s="23" t="inlineStr"/>
      <c r="E8" s="50">
        <f>E10+E11+E12+E13</f>
        <v/>
      </c>
      <c r="F8" s="50">
        <f>F10+F11+F12+F13</f>
        <v/>
      </c>
      <c r="G8" s="50">
        <f>G10+G11+G12+G13</f>
        <v/>
      </c>
      <c r="H8" s="50">
        <f>H10+H11+H12+H13</f>
        <v/>
      </c>
      <c r="I8" s="21" t="n"/>
    </row>
    <row r="9" ht="20" customHeight="1">
      <c r="A9" s="51" t="inlineStr">
        <is>
          <t>S2.1</t>
        </is>
      </c>
      <c r="B9" s="51" t="inlineStr">
        <is>
          <t>Story</t>
        </is>
      </c>
      <c r="C9" s="52" t="inlineStr">
        <is>
          <t xml:space="preserve">  File Upload &amp; Validation</t>
        </is>
      </c>
      <c r="D9" s="51" t="inlineStr"/>
      <c r="E9" s="53">
        <f>E10+E11+E12+E13</f>
        <v/>
      </c>
      <c r="F9" s="53">
        <f>F10+F11+F12+F13</f>
        <v/>
      </c>
      <c r="G9" s="53">
        <f>G10+G11+G12+G13</f>
        <v/>
      </c>
      <c r="H9" s="53">
        <f>H10+H11+H12+H13</f>
        <v/>
      </c>
      <c r="I9" s="54" t="n"/>
    </row>
    <row r="10" ht="20" customHeight="1">
      <c r="A10" s="55" t="inlineStr">
        <is>
          <t>T2.1.1</t>
        </is>
      </c>
      <c r="B10" s="55" t="inlineStr">
        <is>
          <t>Task</t>
        </is>
      </c>
      <c r="C10" s="56" t="inlineStr">
        <is>
          <t xml:space="preserve">    Multi-file upload API + validators</t>
        </is>
      </c>
      <c r="D10" s="55" t="inlineStr">
        <is>
          <t>Simple</t>
        </is>
      </c>
      <c r="E10" s="57" t="n">
        <v>2</v>
      </c>
      <c r="F10" s="57" t="n">
        <v>1</v>
      </c>
      <c r="G10" s="57" t="n">
        <v>0.5</v>
      </c>
      <c r="H10" s="57" t="n">
        <v>0</v>
      </c>
      <c r="I10" s="58" t="n">
        <v>10</v>
      </c>
    </row>
    <row r="11" ht="20" customHeight="1">
      <c r="A11" s="55" t="inlineStr">
        <is>
          <t>T2.1.2</t>
        </is>
      </c>
      <c r="B11" s="55" t="inlineStr">
        <is>
          <t>Task</t>
        </is>
      </c>
      <c r="C11" s="56" t="inlineStr">
        <is>
          <t xml:space="preserve">    PDF / DOCX / MD / TXT parsers</t>
        </is>
      </c>
      <c r="D11" s="55" t="inlineStr">
        <is>
          <t>Medium</t>
        </is>
      </c>
      <c r="E11" s="57" t="n">
        <v>4</v>
      </c>
      <c r="F11" s="57" t="n">
        <v>2</v>
      </c>
      <c r="G11" s="57" t="n">
        <v>0</v>
      </c>
      <c r="H11" s="57" t="n">
        <v>0</v>
      </c>
      <c r="I11" s="58" t="n">
        <v>20</v>
      </c>
    </row>
    <row r="12" ht="20" customHeight="1">
      <c r="A12" s="55" t="inlineStr">
        <is>
          <t>T2.1.3</t>
        </is>
      </c>
      <c r="B12" s="55" t="inlineStr">
        <is>
          <t>Task</t>
        </is>
      </c>
      <c r="C12" s="56" t="inlineStr">
        <is>
          <t xml:space="preserve">    Excel / CSV parsers + OCR engine</t>
        </is>
      </c>
      <c r="D12" s="55" t="inlineStr">
        <is>
          <t>Complex</t>
        </is>
      </c>
      <c r="E12" s="57" t="n">
        <v>4</v>
      </c>
      <c r="F12" s="57" t="n">
        <v>2</v>
      </c>
      <c r="G12" s="57" t="n">
        <v>0</v>
      </c>
      <c r="H12" s="57" t="n">
        <v>0</v>
      </c>
      <c r="I12" s="58" t="n">
        <v>25</v>
      </c>
    </row>
    <row r="13" ht="20" customHeight="1">
      <c r="A13" s="55" t="inlineStr">
        <is>
          <t>T2.1.4</t>
        </is>
      </c>
      <c r="B13" s="55" t="inlineStr">
        <is>
          <t>Task</t>
        </is>
      </c>
      <c r="C13" s="56" t="inlineStr">
        <is>
          <t xml:space="preserve">    Semantic chunking + vector embedding</t>
        </is>
      </c>
      <c r="D13" s="55" t="inlineStr">
        <is>
          <t>Medium</t>
        </is>
      </c>
      <c r="E13" s="57" t="n">
        <v>3</v>
      </c>
      <c r="F13" s="57" t="n">
        <v>1.5</v>
      </c>
      <c r="G13" s="57" t="n">
        <v>0</v>
      </c>
      <c r="H13" s="57" t="n">
        <v>0</v>
      </c>
      <c r="I13" s="58" t="n">
        <v>20</v>
      </c>
    </row>
    <row r="14" ht="20" customHeight="1">
      <c r="A14" s="23" t="inlineStr">
        <is>
          <t>E3</t>
        </is>
      </c>
      <c r="B14" s="23" t="inlineStr">
        <is>
          <t>Epic</t>
        </is>
      </c>
      <c r="C14" s="49" t="inlineStr">
        <is>
          <t>AI Analysis Core</t>
        </is>
      </c>
      <c r="D14" s="23" t="inlineStr"/>
      <c r="E14" s="50">
        <f>E16+E17+E18+E19+E20</f>
        <v/>
      </c>
      <c r="F14" s="50">
        <f>F16+F17+F18+F19+F20</f>
        <v/>
      </c>
      <c r="G14" s="50">
        <f>G16+G17+G18+G19+G20</f>
        <v/>
      </c>
      <c r="H14" s="50">
        <f>H16+H17+H18+H19+H20</f>
        <v/>
      </c>
      <c r="I14" s="21" t="n"/>
    </row>
    <row r="15" ht="20" customHeight="1">
      <c r="A15" s="51" t="inlineStr">
        <is>
          <t>S3.1</t>
        </is>
      </c>
      <c r="B15" s="51" t="inlineStr">
        <is>
          <t>Story</t>
        </is>
      </c>
      <c r="C15" s="52" t="inlineStr">
        <is>
          <t xml:space="preserve">  LLM Abstraction &amp; Analysis Pipeline</t>
        </is>
      </c>
      <c r="D15" s="51" t="inlineStr"/>
      <c r="E15" s="53">
        <f>E16+E17+E18+E19+E20</f>
        <v/>
      </c>
      <c r="F15" s="53">
        <f>F16+F17+F18+F19+F20</f>
        <v/>
      </c>
      <c r="G15" s="53">
        <f>G16+G17+G18+G19+G20</f>
        <v/>
      </c>
      <c r="H15" s="53">
        <f>H16+H17+H18+H19+H20</f>
        <v/>
      </c>
      <c r="I15" s="54" t="n"/>
    </row>
    <row r="16" ht="20" customHeight="1">
      <c r="A16" s="55" t="inlineStr">
        <is>
          <t>T3.1.1</t>
        </is>
      </c>
      <c r="B16" s="55" t="inlineStr">
        <is>
          <t>Task</t>
        </is>
      </c>
      <c r="C16" s="56" t="inlineStr">
        <is>
          <t xml:space="preserve">    LLM provider interface + Claude impl</t>
        </is>
      </c>
      <c r="D16" s="55" t="inlineStr">
        <is>
          <t>Medium</t>
        </is>
      </c>
      <c r="E16" s="57" t="n">
        <v>3</v>
      </c>
      <c r="F16" s="57" t="n">
        <v>1</v>
      </c>
      <c r="G16" s="57" t="n">
        <v>0</v>
      </c>
      <c r="H16" s="57" t="n">
        <v>0</v>
      </c>
      <c r="I16" s="58" t="n">
        <v>20</v>
      </c>
    </row>
    <row r="17" ht="20" customHeight="1">
      <c r="A17" s="55" t="inlineStr">
        <is>
          <t>T3.1.2</t>
        </is>
      </c>
      <c r="B17" s="55" t="inlineStr">
        <is>
          <t>Task</t>
        </is>
      </c>
      <c r="C17" s="56" t="inlineStr">
        <is>
          <t xml:space="preserve">    Analysis prompt engine + result parser</t>
        </is>
      </c>
      <c r="D17" s="55" t="inlineStr">
        <is>
          <t>Complex</t>
        </is>
      </c>
      <c r="E17" s="57" t="n">
        <v>5</v>
      </c>
      <c r="F17" s="57" t="n">
        <v>2</v>
      </c>
      <c r="G17" s="57" t="n">
        <v>2</v>
      </c>
      <c r="H17" s="57" t="n">
        <v>0.5</v>
      </c>
      <c r="I17" s="58" t="n">
        <v>30</v>
      </c>
    </row>
    <row r="18" ht="20" customHeight="1">
      <c r="A18" s="55" t="inlineStr">
        <is>
          <t>T3.1.3</t>
        </is>
      </c>
      <c r="B18" s="55" t="inlineStr">
        <is>
          <t>Task</t>
        </is>
      </c>
      <c r="C18" s="56" t="inlineStr">
        <is>
          <t xml:space="preserve">    Persona-based analysis (BA/PM/QA)</t>
        </is>
      </c>
      <c r="D18" s="55" t="inlineStr">
        <is>
          <t>Medium</t>
        </is>
      </c>
      <c r="E18" s="57" t="n">
        <v>2</v>
      </c>
      <c r="F18" s="57" t="n">
        <v>1</v>
      </c>
      <c r="G18" s="57" t="n">
        <v>1</v>
      </c>
      <c r="H18" s="57" t="n">
        <v>0</v>
      </c>
      <c r="I18" s="58" t="n">
        <v>20</v>
      </c>
    </row>
    <row r="19" ht="20" customHeight="1">
      <c r="A19" s="55" t="inlineStr">
        <is>
          <t>T3.1.4</t>
        </is>
      </c>
      <c r="B19" s="55" t="inlineStr">
        <is>
          <t>Task</t>
        </is>
      </c>
      <c r="C19" s="56" t="inlineStr">
        <is>
          <t xml:space="preserve">    Delta Analysis (v1 vs v2 comparison)</t>
        </is>
      </c>
      <c r="D19" s="55" t="inlineStr">
        <is>
          <t>Complex</t>
        </is>
      </c>
      <c r="E19" s="57" t="n">
        <v>4</v>
      </c>
      <c r="F19" s="57" t="n">
        <v>2</v>
      </c>
      <c r="G19" s="57" t="n">
        <v>1</v>
      </c>
      <c r="H19" s="57" t="n">
        <v>0</v>
      </c>
      <c r="I19" s="58" t="n">
        <v>30</v>
      </c>
    </row>
    <row r="20" ht="20" customHeight="1">
      <c r="A20" s="55" t="inlineStr">
        <is>
          <t>T3.1.5</t>
        </is>
      </c>
      <c r="B20" s="55" t="inlineStr">
        <is>
          <t>Task</t>
        </is>
      </c>
      <c r="C20" s="56" t="inlineStr">
        <is>
          <t xml:space="preserve">    AI Chatbot (semantic search + RAG)</t>
        </is>
      </c>
      <c r="D20" s="55" t="inlineStr">
        <is>
          <t>Complex</t>
        </is>
      </c>
      <c r="E20" s="57" t="n">
        <v>4</v>
      </c>
      <c r="F20" s="57" t="n">
        <v>1.5</v>
      </c>
      <c r="G20" s="57" t="n">
        <v>0.5</v>
      </c>
      <c r="H20" s="57" t="n">
        <v>0</v>
      </c>
      <c r="I20" s="58" t="n">
        <v>25</v>
      </c>
    </row>
    <row r="21" ht="20" customHeight="1">
      <c r="A21" s="23" t="inlineStr">
        <is>
          <t>E4</t>
        </is>
      </c>
      <c r="B21" s="23" t="inlineStr">
        <is>
          <t>Epic</t>
        </is>
      </c>
      <c r="C21" s="49" t="inlineStr">
        <is>
          <t>Collaboration &amp; Review</t>
        </is>
      </c>
      <c r="D21" s="23" t="inlineStr"/>
      <c r="E21" s="50">
        <f>E23+E24+E25</f>
        <v/>
      </c>
      <c r="F21" s="50">
        <f>F23+F24+F25</f>
        <v/>
      </c>
      <c r="G21" s="50">
        <f>G23+G24+G25</f>
        <v/>
      </c>
      <c r="H21" s="50">
        <f>H23+H24+H25</f>
        <v/>
      </c>
      <c r="I21" s="21" t="n"/>
    </row>
    <row r="22" ht="20" customHeight="1">
      <c r="A22" s="51" t="inlineStr">
        <is>
          <t>S4.1</t>
        </is>
      </c>
      <c r="B22" s="51" t="inlineStr">
        <is>
          <t>Story</t>
        </is>
      </c>
      <c r="C22" s="52" t="inlineStr">
        <is>
          <t xml:space="preserve">  Approval Workflow &amp; Dashboard</t>
        </is>
      </c>
      <c r="D22" s="51" t="inlineStr"/>
      <c r="E22" s="53">
        <f>E23+E24+E25</f>
        <v/>
      </c>
      <c r="F22" s="53">
        <f>F23+F24+F25</f>
        <v/>
      </c>
      <c r="G22" s="53">
        <f>G23+G24+G25</f>
        <v/>
      </c>
      <c r="H22" s="53">
        <f>H23+H24+H25</f>
        <v/>
      </c>
      <c r="I22" s="54" t="n"/>
    </row>
    <row r="23" ht="20" customHeight="1">
      <c r="A23" s="55" t="inlineStr">
        <is>
          <t>T4.1.1</t>
        </is>
      </c>
      <c r="B23" s="55" t="inlineStr">
        <is>
          <t>Task</t>
        </is>
      </c>
      <c r="C23" s="56" t="inlineStr">
        <is>
          <t xml:space="preserve">    Analysis results dashboard API</t>
        </is>
      </c>
      <c r="D23" s="55" t="inlineStr">
        <is>
          <t>Simple</t>
        </is>
      </c>
      <c r="E23" s="57" t="n">
        <v>2</v>
      </c>
      <c r="F23" s="57" t="n">
        <v>1</v>
      </c>
      <c r="G23" s="57" t="n">
        <v>0.5</v>
      </c>
      <c r="H23" s="57" t="n">
        <v>0</v>
      </c>
      <c r="I23" s="58" t="n">
        <v>10</v>
      </c>
    </row>
    <row r="24" ht="20" customHeight="1">
      <c r="A24" s="55" t="inlineStr">
        <is>
          <t>T4.1.2</t>
        </is>
      </c>
      <c r="B24" s="55" t="inlineStr">
        <is>
          <t>Task</t>
        </is>
      </c>
      <c r="C24" s="56" t="inlineStr">
        <is>
          <t xml:space="preserve">    Approval / rejection workflow</t>
        </is>
      </c>
      <c r="D24" s="55" t="inlineStr">
        <is>
          <t>Medium</t>
        </is>
      </c>
      <c r="E24" s="57" t="n">
        <v>3</v>
      </c>
      <c r="F24" s="57" t="n">
        <v>1.5</v>
      </c>
      <c r="G24" s="57" t="n">
        <v>1</v>
      </c>
      <c r="H24" s="57" t="n">
        <v>0.5</v>
      </c>
      <c r="I24" s="58" t="n">
        <v>15</v>
      </c>
    </row>
    <row r="25" ht="20" customHeight="1">
      <c r="A25" s="55" t="inlineStr">
        <is>
          <t>T4.1.3</t>
        </is>
      </c>
      <c r="B25" s="55" t="inlineStr">
        <is>
          <t>Task</t>
        </is>
      </c>
      <c r="C25" s="56" t="inlineStr">
        <is>
          <t xml:space="preserve">    Interactive editing of AI results</t>
        </is>
      </c>
      <c r="D25" s="55" t="inlineStr">
        <is>
          <t>Simple</t>
        </is>
      </c>
      <c r="E25" s="57" t="n">
        <v>2</v>
      </c>
      <c r="F25" s="57" t="n">
        <v>1</v>
      </c>
      <c r="G25" s="57" t="n">
        <v>0.5</v>
      </c>
      <c r="H25" s="57" t="n">
        <v>0</v>
      </c>
      <c r="I25" s="58" t="n">
        <v>10</v>
      </c>
    </row>
    <row r="26" ht="20" customHeight="1">
      <c r="A26" s="23" t="inlineStr">
        <is>
          <t>E5</t>
        </is>
      </c>
      <c r="B26" s="23" t="inlineStr">
        <is>
          <t>Epic</t>
        </is>
      </c>
      <c r="C26" s="49" t="inlineStr">
        <is>
          <t>Estimation &amp; Export</t>
        </is>
      </c>
      <c r="D26" s="23" t="inlineStr"/>
      <c r="E26" s="50">
        <f>E28+E29+E30+E31</f>
        <v/>
      </c>
      <c r="F26" s="50">
        <f>F28+F29+F30+F31</f>
        <v/>
      </c>
      <c r="G26" s="50">
        <f>G28+G29+G30+G31</f>
        <v/>
      </c>
      <c r="H26" s="50">
        <f>H28+H29+H30+H31</f>
        <v/>
      </c>
      <c r="I26" s="21" t="n"/>
    </row>
    <row r="27" ht="20" customHeight="1">
      <c r="A27" s="51" t="inlineStr">
        <is>
          <t>S5.1</t>
        </is>
      </c>
      <c r="B27" s="51" t="inlineStr">
        <is>
          <t>Story</t>
        </is>
      </c>
      <c r="C27" s="52" t="inlineStr">
        <is>
          <t xml:space="preserve">  WBS Generation &amp; Rate Card</t>
        </is>
      </c>
      <c r="D27" s="51" t="inlineStr"/>
      <c r="E27" s="53">
        <f>E28+E29+E30+E31</f>
        <v/>
      </c>
      <c r="F27" s="53">
        <f>F28+F29+F30+F31</f>
        <v/>
      </c>
      <c r="G27" s="53">
        <f>G28+G29+G30+G31</f>
        <v/>
      </c>
      <c r="H27" s="53">
        <f>H28+H29+H30+H31</f>
        <v/>
      </c>
      <c r="I27" s="54" t="n"/>
    </row>
    <row r="28" ht="20" customHeight="1">
      <c r="A28" s="55" t="inlineStr">
        <is>
          <t>T5.1.1</t>
        </is>
      </c>
      <c r="B28" s="55" t="inlineStr">
        <is>
          <t>Task</t>
        </is>
      </c>
      <c r="C28" s="56" t="inlineStr">
        <is>
          <t xml:space="preserve">    Rate card CRUD API</t>
        </is>
      </c>
      <c r="D28" s="55" t="inlineStr">
        <is>
          <t>Simple</t>
        </is>
      </c>
      <c r="E28" s="57" t="n">
        <v>1.5</v>
      </c>
      <c r="F28" s="57" t="n">
        <v>0.5</v>
      </c>
      <c r="G28" s="57" t="n">
        <v>0.5</v>
      </c>
      <c r="H28" s="57" t="n">
        <v>0</v>
      </c>
      <c r="I28" s="58" t="n">
        <v>10</v>
      </c>
    </row>
    <row r="29" ht="20" customHeight="1">
      <c r="A29" s="55" t="inlineStr">
        <is>
          <t>T5.1.2</t>
        </is>
      </c>
      <c r="B29" s="55" t="inlineStr">
        <is>
          <t>Task</t>
        </is>
      </c>
      <c r="C29" s="56" t="inlineStr">
        <is>
          <t xml:space="preserve">    AI-driven WBS generation</t>
        </is>
      </c>
      <c r="D29" s="55" t="inlineStr">
        <is>
          <t>Complex</t>
        </is>
      </c>
      <c r="E29" s="57" t="n">
        <v>5</v>
      </c>
      <c r="F29" s="57" t="n">
        <v>2</v>
      </c>
      <c r="G29" s="57" t="n">
        <v>2</v>
      </c>
      <c r="H29" s="57" t="n">
        <v>1</v>
      </c>
      <c r="I29" s="58" t="n">
        <v>30</v>
      </c>
    </row>
    <row r="30" ht="20" customHeight="1">
      <c r="A30" s="55" t="inlineStr">
        <is>
          <t>T5.1.3</t>
        </is>
      </c>
      <c r="B30" s="55" t="inlineStr">
        <is>
          <t>Task</t>
        </is>
      </c>
      <c r="C30" s="56" t="inlineStr">
        <is>
          <t xml:space="preserve">    Excel quotation export (4-tab)</t>
        </is>
      </c>
      <c r="D30" s="55" t="inlineStr">
        <is>
          <t>Medium</t>
        </is>
      </c>
      <c r="E30" s="57" t="n">
        <v>4</v>
      </c>
      <c r="F30" s="57" t="n">
        <v>2</v>
      </c>
      <c r="G30" s="57" t="n">
        <v>1</v>
      </c>
      <c r="H30" s="57" t="n">
        <v>0</v>
      </c>
      <c r="I30" s="58" t="n">
        <v>20</v>
      </c>
    </row>
    <row r="31" ht="20" customHeight="1">
      <c r="A31" s="55" t="inlineStr">
        <is>
          <t>T5.1.4</t>
        </is>
      </c>
      <c r="B31" s="55" t="inlineStr">
        <is>
          <t>Task</t>
        </is>
      </c>
      <c r="C31" s="56" t="inlineStr">
        <is>
          <t xml:space="preserve">    PM tools sync (Jira/Linear/ClickUp)</t>
        </is>
      </c>
      <c r="D31" s="55" t="inlineStr">
        <is>
          <t>Medium</t>
        </is>
      </c>
      <c r="E31" s="57" t="n">
        <v>4</v>
      </c>
      <c r="F31" s="57" t="n">
        <v>1.5</v>
      </c>
      <c r="G31" s="57" t="n">
        <v>0</v>
      </c>
      <c r="H31" s="57" t="n">
        <v>0</v>
      </c>
      <c r="I31" s="58" t="n">
        <v>20</v>
      </c>
    </row>
    <row r="32" ht="20" customHeight="1">
      <c r="A32" s="23" t="inlineStr">
        <is>
          <t>E6</t>
        </is>
      </c>
      <c r="B32" s="23" t="inlineStr">
        <is>
          <t>Epic</t>
        </is>
      </c>
      <c r="C32" s="49" t="inlineStr">
        <is>
          <t>Non-Functional &amp; DevOps</t>
        </is>
      </c>
      <c r="D32" s="23" t="inlineStr"/>
      <c r="E32" s="50">
        <f>E34+E35+E36</f>
        <v/>
      </c>
      <c r="F32" s="50">
        <f>F34+F35+F36</f>
        <v/>
      </c>
      <c r="G32" s="50">
        <f>G34+G35+G36</f>
        <v/>
      </c>
      <c r="H32" s="50">
        <f>H34+H35+H36</f>
        <v/>
      </c>
      <c r="I32" s="21" t="n"/>
    </row>
    <row r="33" ht="20" customHeight="1">
      <c r="A33" s="51" t="inlineStr">
        <is>
          <t>S6.1</t>
        </is>
      </c>
      <c r="B33" s="51" t="inlineStr">
        <is>
          <t>Story</t>
        </is>
      </c>
      <c r="C33" s="52" t="inlineStr">
        <is>
          <t xml:space="preserve">  Security, Performance, Scalability</t>
        </is>
      </c>
      <c r="D33" s="51" t="inlineStr"/>
      <c r="E33" s="53">
        <f>E34+E35+E36</f>
        <v/>
      </c>
      <c r="F33" s="53">
        <f>F34+F35+F36</f>
        <v/>
      </c>
      <c r="G33" s="53">
        <f>G34+G35+G36</f>
        <v/>
      </c>
      <c r="H33" s="53">
        <f>H34+H35+H36</f>
        <v/>
      </c>
      <c r="I33" s="54" t="n"/>
    </row>
    <row r="34" ht="20" customHeight="1">
      <c r="A34" s="55" t="inlineStr">
        <is>
          <t>T6.1.1</t>
        </is>
      </c>
      <c r="B34" s="55" t="inlineStr">
        <is>
          <t>Task</t>
        </is>
      </c>
      <c r="C34" s="56" t="inlineStr">
        <is>
          <t xml:space="preserve">    AES-256 encryption at-rest + TLS 1.3</t>
        </is>
      </c>
      <c r="D34" s="55" t="inlineStr">
        <is>
          <t>Simple</t>
        </is>
      </c>
      <c r="E34" s="57" t="n">
        <v>2</v>
      </c>
      <c r="F34" s="57" t="n">
        <v>1</v>
      </c>
      <c r="G34" s="57" t="n">
        <v>0</v>
      </c>
      <c r="H34" s="57" t="n">
        <v>0</v>
      </c>
      <c r="I34" s="58" t="n">
        <v>10</v>
      </c>
    </row>
    <row r="35" ht="20" customHeight="1">
      <c r="A35" s="55" t="inlineStr">
        <is>
          <t>T6.1.2</t>
        </is>
      </c>
      <c r="B35" s="55" t="inlineStr">
        <is>
          <t>Task</t>
        </is>
      </c>
      <c r="C35" s="56" t="inlineStr">
        <is>
          <t xml:space="preserve">    Multi-worker RQ scaling configuration</t>
        </is>
      </c>
      <c r="D35" s="55" t="inlineStr">
        <is>
          <t>Simple</t>
        </is>
      </c>
      <c r="E35" s="57" t="n">
        <v>2</v>
      </c>
      <c r="F35" s="57" t="n">
        <v>0.5</v>
      </c>
      <c r="G35" s="57" t="n">
        <v>0</v>
      </c>
      <c r="H35" s="57" t="n">
        <v>0</v>
      </c>
      <c r="I35" s="58" t="n">
        <v>15</v>
      </c>
    </row>
    <row r="36" ht="20" customHeight="1">
      <c r="A36" s="55" t="inlineStr">
        <is>
          <t>T6.1.3</t>
        </is>
      </c>
      <c r="B36" s="55" t="inlineStr">
        <is>
          <t>Task</t>
        </is>
      </c>
      <c r="C36" s="56" t="inlineStr">
        <is>
          <t xml:space="preserve">    Docker Compose + CI/CD pipeline</t>
        </is>
      </c>
      <c r="D36" s="55" t="inlineStr">
        <is>
          <t>Medium</t>
        </is>
      </c>
      <c r="E36" s="57" t="n">
        <v>3</v>
      </c>
      <c r="F36" s="57" t="n">
        <v>1</v>
      </c>
      <c r="G36" s="57" t="n">
        <v>0</v>
      </c>
      <c r="H36" s="57" t="n">
        <v>0.5</v>
      </c>
      <c r="I36" s="58" t="n">
        <v>10</v>
      </c>
    </row>
    <row r="37">
      <c r="C37" s="21" t="inlineStr">
        <is>
          <t>TOTAL</t>
        </is>
      </c>
      <c r="E37" s="50">
        <f>E4+E5+E6+E7+E10+E11+E12+E13+E16+E17+E18+E19+E20+E23+E24+E25+E28+E29+E30+E31+E34+E35+E36</f>
        <v/>
      </c>
      <c r="F37" s="50">
        <f>F4+F5+F6+F7+F10+F11+F12+F13+F16+F17+F18+F19+F20+F23+F24+F25+F28+F29+F30+F31+F34+F35+F36</f>
        <v/>
      </c>
      <c r="G37" s="50">
        <f>G4+G5+G6+G7+G10+G11+G12+G13+G16+G17+G18+G19+G20+G23+G24+G25+G28+G29+G30+G31+G34+G35+G36</f>
        <v/>
      </c>
      <c r="H37" s="50">
        <f>H4+H5+H6+H7+H10+H11+H12+H13+H16+H17+H18+H19+H20+H23+H24+H25+H28+H29+H30+H31+H34+H35+H36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pane ySplit="19" topLeftCell="A20" activePane="bottomLeft" state="frozen"/>
      <selection pane="bottomLeft" activeCell="A1" sqref="A1"/>
    </sheetView>
  </sheetViews>
  <sheetFormatPr baseColWidth="8" defaultRowHeight="15"/>
  <cols>
    <col width="38" customWidth="1" min="1" max="1"/>
    <col width="10" customWidth="1" min="2" max="2"/>
    <col width="10" customWidth="1" min="3" max="3"/>
    <col width="10" customWidth="1" min="4" max="4"/>
    <col width="10" customWidth="1" min="5" max="5"/>
    <col width="16" customWidth="1" min="6" max="6"/>
    <col width="16" customWidth="1" min="7" max="7"/>
    <col width="14" customWidth="1" min="8" max="8"/>
    <col width="14" customWidth="1" min="9" max="9"/>
    <col width="16" customWidth="1" min="10" max="10"/>
    <col width="10" customWidth="1" min="11" max="11"/>
    <col width="18" customWidth="1" min="12" max="12"/>
  </cols>
  <sheetData>
    <row r="1" ht="26" customHeight="1">
      <c r="A1" s="7" t="inlineStr">
        <is>
          <t>Personnel Rate Card (USD / Man-Day)</t>
        </is>
      </c>
    </row>
    <row r="2">
      <c r="A2" s="8" t="inlineStr">
        <is>
          <t>Role</t>
        </is>
      </c>
      <c r="B2" s="8" t="inlineStr">
        <is>
          <t>Seniority</t>
        </is>
      </c>
      <c r="C2" s="8" t="inlineStr">
        <is>
          <t>Daily Rate (USD)</t>
        </is>
      </c>
      <c r="D2" s="8" t="inlineStr">
        <is>
          <t>Notes</t>
        </is>
      </c>
    </row>
    <row r="3">
      <c r="A3" s="47" t="inlineStr">
        <is>
          <t>Dev</t>
        </is>
      </c>
      <c r="B3" s="47" t="inlineStr">
        <is>
          <t>Junior</t>
        </is>
      </c>
      <c r="C3" s="59" t="n">
        <v>350</v>
      </c>
      <c r="D3" s="46" t="inlineStr">
        <is>
          <t>Configurable</t>
        </is>
      </c>
    </row>
    <row r="4">
      <c r="A4" s="60" t="inlineStr">
        <is>
          <t>Dev</t>
        </is>
      </c>
      <c r="B4" s="60" t="inlineStr">
        <is>
          <t>Mid</t>
        </is>
      </c>
      <c r="C4" s="61" t="n">
        <v>500</v>
      </c>
      <c r="D4" s="62" t="inlineStr">
        <is>
          <t>Configurable</t>
        </is>
      </c>
    </row>
    <row r="5">
      <c r="A5" s="47" t="inlineStr">
        <is>
          <t>Dev</t>
        </is>
      </c>
      <c r="B5" s="47" t="inlineStr">
        <is>
          <t>Senior</t>
        </is>
      </c>
      <c r="C5" s="59" t="n">
        <v>700</v>
      </c>
      <c r="D5" s="46" t="inlineStr">
        <is>
          <t>Configurable</t>
        </is>
      </c>
    </row>
    <row r="6">
      <c r="A6" s="60" t="inlineStr">
        <is>
          <t>QA</t>
        </is>
      </c>
      <c r="B6" s="60" t="inlineStr">
        <is>
          <t>Junior</t>
        </is>
      </c>
      <c r="C6" s="61" t="n">
        <v>250</v>
      </c>
      <c r="D6" s="62" t="inlineStr">
        <is>
          <t>Configurable</t>
        </is>
      </c>
    </row>
    <row r="7">
      <c r="A7" s="47" t="inlineStr">
        <is>
          <t>QA</t>
        </is>
      </c>
      <c r="B7" s="47" t="inlineStr">
        <is>
          <t>Mid</t>
        </is>
      </c>
      <c r="C7" s="59" t="n">
        <v>350</v>
      </c>
      <c r="D7" s="46" t="inlineStr">
        <is>
          <t>Configurable</t>
        </is>
      </c>
    </row>
    <row r="8">
      <c r="A8" s="60" t="inlineStr">
        <is>
          <t>QA</t>
        </is>
      </c>
      <c r="B8" s="60" t="inlineStr">
        <is>
          <t>Senior</t>
        </is>
      </c>
      <c r="C8" s="61" t="n">
        <v>450</v>
      </c>
      <c r="D8" s="62" t="inlineStr">
        <is>
          <t>Configurable</t>
        </is>
      </c>
    </row>
    <row r="9">
      <c r="A9" s="47" t="inlineStr">
        <is>
          <t>BA</t>
        </is>
      </c>
      <c r="B9" s="47" t="inlineStr">
        <is>
          <t>Junior</t>
        </is>
      </c>
      <c r="C9" s="59" t="n">
        <v>300</v>
      </c>
      <c r="D9" s="46" t="inlineStr">
        <is>
          <t>Configurable</t>
        </is>
      </c>
    </row>
    <row r="10">
      <c r="A10" s="60" t="inlineStr">
        <is>
          <t>BA</t>
        </is>
      </c>
      <c r="B10" s="60" t="inlineStr">
        <is>
          <t>Mid</t>
        </is>
      </c>
      <c r="C10" s="61" t="n">
        <v>420</v>
      </c>
      <c r="D10" s="62" t="inlineStr">
        <is>
          <t>Configurable</t>
        </is>
      </c>
    </row>
    <row r="11">
      <c r="A11" s="47" t="inlineStr">
        <is>
          <t>BA</t>
        </is>
      </c>
      <c r="B11" s="47" t="inlineStr">
        <is>
          <t>Senior</t>
        </is>
      </c>
      <c r="C11" s="59" t="n">
        <v>600</v>
      </c>
      <c r="D11" s="46" t="inlineStr">
        <is>
          <t>Configurable</t>
        </is>
      </c>
    </row>
    <row r="12">
      <c r="A12" s="60" t="inlineStr">
        <is>
          <t>PM</t>
        </is>
      </c>
      <c r="B12" s="60" t="inlineStr">
        <is>
          <t>Junior</t>
        </is>
      </c>
      <c r="C12" s="61" t="n">
        <v>350</v>
      </c>
      <c r="D12" s="62" t="inlineStr">
        <is>
          <t>Configurable</t>
        </is>
      </c>
    </row>
    <row r="13">
      <c r="A13" s="47" t="inlineStr">
        <is>
          <t>PM</t>
        </is>
      </c>
      <c r="B13" s="47" t="inlineStr">
        <is>
          <t>Mid</t>
        </is>
      </c>
      <c r="C13" s="59" t="n">
        <v>500</v>
      </c>
      <c r="D13" s="46" t="inlineStr">
        <is>
          <t>Configurable</t>
        </is>
      </c>
    </row>
    <row r="14">
      <c r="A14" s="60" t="inlineStr">
        <is>
          <t>PM</t>
        </is>
      </c>
      <c r="B14" s="60" t="inlineStr">
        <is>
          <t>Senior</t>
        </is>
      </c>
      <c r="C14" s="61" t="n">
        <v>700</v>
      </c>
      <c r="D14" s="62" t="inlineStr">
        <is>
          <t>Configurable</t>
        </is>
      </c>
    </row>
    <row r="18" ht="24" customHeight="1">
      <c r="A18" s="63" t="inlineStr">
        <is>
          <t>Cost Calculation (formulas reference Rate Card above and WBS sheet)</t>
        </is>
      </c>
    </row>
    <row r="19">
      <c r="A19" s="8" t="inlineStr">
        <is>
          <t>Epic / Module</t>
        </is>
      </c>
      <c r="B19" s="8" t="inlineStr">
        <is>
          <t>Dev (md)</t>
        </is>
      </c>
      <c r="C19" s="8" t="inlineStr">
        <is>
          <t>QA (md)</t>
        </is>
      </c>
      <c r="D19" s="8" t="inlineStr">
        <is>
          <t>BA (md)</t>
        </is>
      </c>
      <c r="E19" s="8" t="inlineStr">
        <is>
          <t>PM (md)</t>
        </is>
      </c>
      <c r="F19" s="8" t="inlineStr">
        <is>
          <t>Dev Cost</t>
        </is>
      </c>
      <c r="G19" s="8" t="inlineStr">
        <is>
          <t>QA Cost</t>
        </is>
      </c>
      <c r="H19" s="8" t="inlineStr">
        <is>
          <t>BA Cost</t>
        </is>
      </c>
      <c r="I19" s="8" t="inlineStr">
        <is>
          <t>PM Cost</t>
        </is>
      </c>
      <c r="J19" s="8" t="inlineStr">
        <is>
          <t>Subtotal</t>
        </is>
      </c>
      <c r="K19" s="8" t="inlineStr">
        <is>
          <t>Buffer%</t>
        </is>
      </c>
      <c r="L19" s="8" t="inlineStr">
        <is>
          <t>Total</t>
        </is>
      </c>
    </row>
    <row r="20">
      <c r="A20" s="64" t="inlineStr">
        <is>
          <t>Foundation &amp; Infrastructure</t>
        </is>
      </c>
      <c r="B20" s="65">
        <f>'📊 WBS &amp; Effort'!E2</f>
        <v/>
      </c>
      <c r="C20" s="65">
        <f>'📊 WBS &amp; Effort'!F2</f>
        <v/>
      </c>
      <c r="D20" s="65">
        <f>'📊 WBS &amp; Effort'!G2</f>
        <v/>
      </c>
      <c r="E20" s="65">
        <f>'📊 WBS &amp; Effort'!H2</f>
        <v/>
      </c>
      <c r="F20" s="66">
        <f>B20*C4</f>
        <v/>
      </c>
      <c r="G20" s="66">
        <f>C20*C7</f>
        <v/>
      </c>
      <c r="H20" s="66">
        <f>D20*C10</f>
        <v/>
      </c>
      <c r="I20" s="66">
        <f>E20*C13</f>
        <v/>
      </c>
      <c r="J20" s="66">
        <f>F20+G20+H20+I20</f>
        <v/>
      </c>
      <c r="K20" s="67" t="inlineStr">
        <is>
          <t>10%</t>
        </is>
      </c>
      <c r="L20" s="66">
        <f>J20*(1+K20/100)</f>
        <v/>
      </c>
    </row>
    <row r="21">
      <c r="A21" s="68" t="inlineStr">
        <is>
          <t>Document Ingestion &amp; Parsing</t>
        </is>
      </c>
      <c r="B21" s="69">
        <f>'📊 WBS &amp; Effort'!E8</f>
        <v/>
      </c>
      <c r="C21" s="69">
        <f>'📊 WBS &amp; Effort'!F8</f>
        <v/>
      </c>
      <c r="D21" s="69">
        <f>'📊 WBS &amp; Effort'!G8</f>
        <v/>
      </c>
      <c r="E21" s="69">
        <f>'📊 WBS &amp; Effort'!H8</f>
        <v/>
      </c>
      <c r="F21" s="70">
        <f>B21*C4</f>
        <v/>
      </c>
      <c r="G21" s="70">
        <f>C21*C7</f>
        <v/>
      </c>
      <c r="H21" s="70">
        <f>D21*C10</f>
        <v/>
      </c>
      <c r="I21" s="70">
        <f>E21*C13</f>
        <v/>
      </c>
      <c r="J21" s="70">
        <f>F21+G21+H21+I21</f>
        <v/>
      </c>
      <c r="K21" s="71" t="inlineStr">
        <is>
          <t>20%</t>
        </is>
      </c>
      <c r="L21" s="70">
        <f>J21*(1+K21/100)</f>
        <v/>
      </c>
    </row>
    <row r="22">
      <c r="A22" s="64" t="inlineStr">
        <is>
          <t>AI Analysis Core</t>
        </is>
      </c>
      <c r="B22" s="65">
        <f>'📊 WBS &amp; Effort'!E14</f>
        <v/>
      </c>
      <c r="C22" s="65">
        <f>'📊 WBS &amp; Effort'!F14</f>
        <v/>
      </c>
      <c r="D22" s="65">
        <f>'📊 WBS &amp; Effort'!G14</f>
        <v/>
      </c>
      <c r="E22" s="65">
        <f>'📊 WBS &amp; Effort'!H14</f>
        <v/>
      </c>
      <c r="F22" s="66">
        <f>B22*C4</f>
        <v/>
      </c>
      <c r="G22" s="66">
        <f>C22*C7</f>
        <v/>
      </c>
      <c r="H22" s="66">
        <f>D22*C10</f>
        <v/>
      </c>
      <c r="I22" s="66">
        <f>E22*C13</f>
        <v/>
      </c>
      <c r="J22" s="66">
        <f>F22+G22+H22+I22</f>
        <v/>
      </c>
      <c r="K22" s="67" t="inlineStr">
        <is>
          <t>30%</t>
        </is>
      </c>
      <c r="L22" s="66">
        <f>J22*(1+K22/100)</f>
        <v/>
      </c>
    </row>
    <row r="23">
      <c r="A23" s="68" t="inlineStr">
        <is>
          <t>Collaboration &amp; Review</t>
        </is>
      </c>
      <c r="B23" s="69">
        <f>'📊 WBS &amp; Effort'!E21</f>
        <v/>
      </c>
      <c r="C23" s="69">
        <f>'📊 WBS &amp; Effort'!F21</f>
        <v/>
      </c>
      <c r="D23" s="69">
        <f>'📊 WBS &amp; Effort'!G21</f>
        <v/>
      </c>
      <c r="E23" s="69">
        <f>'📊 WBS &amp; Effort'!H21</f>
        <v/>
      </c>
      <c r="F23" s="70">
        <f>B23*C4</f>
        <v/>
      </c>
      <c r="G23" s="70">
        <f>C23*C7</f>
        <v/>
      </c>
      <c r="H23" s="70">
        <f>D23*C10</f>
        <v/>
      </c>
      <c r="I23" s="70">
        <f>E23*C13</f>
        <v/>
      </c>
      <c r="J23" s="70">
        <f>F23+G23+H23+I23</f>
        <v/>
      </c>
      <c r="K23" s="71" t="inlineStr">
        <is>
          <t>15%</t>
        </is>
      </c>
      <c r="L23" s="70">
        <f>J23*(1+K23/100)</f>
        <v/>
      </c>
    </row>
    <row r="24">
      <c r="A24" s="64" t="inlineStr">
        <is>
          <t>Estimation &amp; Export</t>
        </is>
      </c>
      <c r="B24" s="65">
        <f>'📊 WBS &amp; Effort'!E26</f>
        <v/>
      </c>
      <c r="C24" s="65">
        <f>'📊 WBS &amp; Effort'!F26</f>
        <v/>
      </c>
      <c r="D24" s="65">
        <f>'📊 WBS &amp; Effort'!G26</f>
        <v/>
      </c>
      <c r="E24" s="65">
        <f>'📊 WBS &amp; Effort'!H26</f>
        <v/>
      </c>
      <c r="F24" s="66">
        <f>B24*C4</f>
        <v/>
      </c>
      <c r="G24" s="66">
        <f>C24*C7</f>
        <v/>
      </c>
      <c r="H24" s="66">
        <f>D24*C10</f>
        <v/>
      </c>
      <c r="I24" s="66">
        <f>E24*C13</f>
        <v/>
      </c>
      <c r="J24" s="66">
        <f>F24+G24+H24+I24</f>
        <v/>
      </c>
      <c r="K24" s="67" t="inlineStr">
        <is>
          <t>20%</t>
        </is>
      </c>
      <c r="L24" s="66">
        <f>J24*(1+K24/100)</f>
        <v/>
      </c>
    </row>
    <row r="25">
      <c r="A25" s="68" t="inlineStr">
        <is>
          <t>Non-Functional &amp; DevOps</t>
        </is>
      </c>
      <c r="B25" s="69">
        <f>'📊 WBS &amp; Effort'!E32</f>
        <v/>
      </c>
      <c r="C25" s="69">
        <f>'📊 WBS &amp; Effort'!F32</f>
        <v/>
      </c>
      <c r="D25" s="69">
        <f>'📊 WBS &amp; Effort'!G32</f>
        <v/>
      </c>
      <c r="E25" s="69">
        <f>'📊 WBS &amp; Effort'!H32</f>
        <v/>
      </c>
      <c r="F25" s="70">
        <f>B25*C4</f>
        <v/>
      </c>
      <c r="G25" s="70">
        <f>C25*C7</f>
        <v/>
      </c>
      <c r="H25" s="70">
        <f>D25*C10</f>
        <v/>
      </c>
      <c r="I25" s="70">
        <f>E25*C13</f>
        <v/>
      </c>
      <c r="J25" s="70">
        <f>F25+G25+H25+I25</f>
        <v/>
      </c>
      <c r="K25" s="71" t="inlineStr">
        <is>
          <t>15%</t>
        </is>
      </c>
      <c r="L25" s="70">
        <f>J25*(1+K25/100)</f>
        <v/>
      </c>
    </row>
    <row r="26">
      <c r="A26" s="21" t="inlineStr">
        <is>
          <t>GRAND TOTAL</t>
        </is>
      </c>
      <c r="B26" s="72">
        <f>SUM(B20:B25)</f>
        <v/>
      </c>
      <c r="C26" s="72">
        <f>SUM(C20:C25)</f>
        <v/>
      </c>
      <c r="D26" s="72">
        <f>SUM(D20:D25)</f>
        <v/>
      </c>
      <c r="E26" s="72">
        <f>SUM(E20:E25)</f>
        <v/>
      </c>
      <c r="F26" s="72">
        <f>SUM(F20:F25)</f>
        <v/>
      </c>
      <c r="G26" s="72">
        <f>SUM(G20:G25)</f>
        <v/>
      </c>
      <c r="H26" s="72">
        <f>SUM(H20:H25)</f>
        <v/>
      </c>
      <c r="I26" s="72">
        <f>SUM(I20:I25)</f>
        <v/>
      </c>
      <c r="J26" s="72">
        <f>SUM(J20:J25)</f>
        <v/>
      </c>
      <c r="K26" s="72">
        <f>SUM(K20:K25)</f>
        <v/>
      </c>
      <c r="L26" s="72">
        <f>SUM(L20:L25)</f>
        <v/>
      </c>
    </row>
  </sheetData>
  <mergeCells count="2">
    <mergeCell ref="A18:H18"/>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42" customWidth="1" min="2" max="2"/>
    <col width="60" customWidth="1" min="3" max="3"/>
    <col width="22" customWidth="1" min="4" max="4"/>
  </cols>
  <sheetData>
    <row r="1" ht="30" customHeight="1">
      <c r="A1" s="73" t="inlineStr">
        <is>
          <t>Technical Assumptions &amp; Out-of-Scope Exclusions</t>
        </is>
      </c>
    </row>
    <row r="3">
      <c r="A3" s="74" t="inlineStr">
        <is>
          <t>ASSUMPTIONS</t>
        </is>
      </c>
    </row>
    <row r="4">
      <c r="A4" s="8" t="inlineStr">
        <is>
          <t>#</t>
        </is>
      </c>
      <c r="B4" s="8" t="inlineStr">
        <is>
          <t>Category</t>
        </is>
      </c>
      <c r="C4" s="8" t="inlineStr">
        <is>
          <t>Assumption</t>
        </is>
      </c>
      <c r="D4" s="8" t="inlineStr">
        <is>
          <t>Impact if Wrong</t>
        </is>
      </c>
    </row>
    <row r="5" ht="45" customHeight="1">
      <c r="A5" s="47" t="inlineStr">
        <is>
          <t>1</t>
        </is>
      </c>
      <c r="B5" s="48" t="inlineStr">
        <is>
          <t>Infrastructure</t>
        </is>
      </c>
      <c r="C5" s="46" t="inlineStr">
        <is>
          <t>Client provides PostgreSQL 15+ with pgvector extension enabled</t>
        </is>
      </c>
      <c r="D5" s="36" t="inlineStr">
        <is>
          <t>Migration required if older version</t>
        </is>
      </c>
    </row>
    <row r="6" ht="45" customHeight="1">
      <c r="A6" s="60" t="inlineStr">
        <is>
          <t>2</t>
        </is>
      </c>
      <c r="B6" s="75" t="inlineStr">
        <is>
          <t>LLM Contract</t>
        </is>
      </c>
      <c r="C6" s="62" t="inlineStr">
        <is>
          <t>Anthropic Enterprise API contract with no-training-data clause is in place before production launch (NFR-04)</t>
        </is>
      </c>
      <c r="D6" s="36" t="inlineStr">
        <is>
          <t>Legal/compliance risk if standard API used</t>
        </is>
      </c>
    </row>
    <row r="7" ht="45" customHeight="1">
      <c r="A7" s="47" t="inlineStr">
        <is>
          <t>3</t>
        </is>
      </c>
      <c r="B7" s="48" t="inlineStr">
        <is>
          <t>Rate Card</t>
        </is>
      </c>
      <c r="C7" s="46" t="inlineStr">
        <is>
          <t>Rates in this document are indicative (Mid seniority). Final rates to be confirmed with client</t>
        </is>
      </c>
      <c r="D7" s="36" t="inlineStr">
        <is>
          <t>Cost delta up to ±40% depending on seniority mix</t>
        </is>
      </c>
    </row>
    <row r="8" ht="45" customHeight="1">
      <c r="A8" s="60" t="inlineStr">
        <is>
          <t>4</t>
        </is>
      </c>
      <c r="B8" s="75" t="inlineStr">
        <is>
          <t>Document Quality</t>
        </is>
      </c>
      <c r="C8" s="62" t="inlineStr">
        <is>
          <t>Input documents are reasonably structured. Machine-readable PDFs preferred; scanned PDFs may have lower analysis accuracy</t>
        </is>
      </c>
      <c r="D8" s="36" t="inlineStr">
        <is>
          <t>OCR errors may degrade analysis quality</t>
        </is>
      </c>
    </row>
    <row r="9" ht="45" customHeight="1">
      <c r="A9" s="47" t="inlineStr">
        <is>
          <t>5</t>
        </is>
      </c>
      <c r="B9" s="48" t="inlineStr">
        <is>
          <t>Historical Data</t>
        </is>
      </c>
      <c r="C9" s="46" t="inlineStr">
        <is>
          <t>Effort estimates are based on AI analysis only. Historical project calibration data (FR-12) not yet available at MVP stage</t>
        </is>
      </c>
      <c r="D9" s="36" t="inlineStr">
        <is>
          <t>Estimates carry ±25% uncertainty without historical data</t>
        </is>
      </c>
    </row>
    <row r="10" ht="45" customHeight="1">
      <c r="A10" s="60" t="inlineStr">
        <is>
          <t>6</t>
        </is>
      </c>
      <c r="B10" s="75" t="inlineStr">
        <is>
          <t>Language</t>
        </is>
      </c>
      <c r="C10" s="62" t="inlineStr">
        <is>
          <t>Primary document language is English. Vietnamese language support available but may have lower LLM analysis quality</t>
        </is>
      </c>
      <c r="D10" s="36" t="inlineStr">
        <is>
          <t>Non-English documents may produce fewer findings</t>
        </is>
      </c>
    </row>
    <row r="11" ht="45" customHeight="1">
      <c r="A11" s="47" t="inlineStr">
        <is>
          <t>7</t>
        </is>
      </c>
      <c r="B11" s="48" t="inlineStr">
        <is>
          <t>Concurrency</t>
        </is>
      </c>
      <c r="C11" s="46" t="inlineStr">
        <is>
          <t>MVP targets ≤10 concurrent users. Scaling to NFR-02 (50 concurrent) requires additional worker infrastructure investment</t>
        </is>
      </c>
      <c r="D11" s="36" t="inlineStr">
        <is>
          <t>Additional infrastructure cost for scale-up</t>
        </is>
      </c>
    </row>
    <row r="12" ht="45" customHeight="1">
      <c r="A12" s="60" t="inlineStr">
        <is>
          <t>8</t>
        </is>
      </c>
      <c r="B12" s="75" t="inlineStr">
        <is>
          <t>Integrations</t>
        </is>
      </c>
      <c r="C12" s="62" t="inlineStr">
        <is>
          <t>Jira/Linear/ClickUp OAuth credentials must be configured per organization by admin before sync feature is available</t>
        </is>
      </c>
      <c r="D12" s="36" t="inlineStr">
        <is>
          <t>Sync feature unavailable without prior configuration</t>
        </is>
      </c>
    </row>
    <row r="15" ht="24" customHeight="1">
      <c r="A15" s="76" t="inlineStr">
        <is>
          <t>OUT OF SCOPE (Auto-extracted from Risk &amp; Gap Analysis)</t>
        </is>
      </c>
    </row>
    <row r="16">
      <c r="A16" s="77" t="inlineStr">
        <is>
          <t>#</t>
        </is>
      </c>
      <c r="B16" s="77" t="inlineStr">
        <is>
          <t>Item</t>
        </is>
      </c>
      <c r="C16" s="77" t="inlineStr">
        <is>
          <t>Reason Out of Scope</t>
        </is>
      </c>
      <c r="D16" s="77" t="inlineStr">
        <is>
          <t>Source</t>
        </is>
      </c>
    </row>
    <row r="17" ht="40" customHeight="1">
      <c r="A17" s="47" t="inlineStr">
        <is>
          <t>1</t>
        </is>
      </c>
      <c r="B17" s="48" t="inlineStr">
        <is>
          <t>Frontend / Web Dashboard UI</t>
        </is>
      </c>
      <c r="C17" s="46" t="inlineStr">
        <is>
          <t>SRS defines backend API only. Frontend development is a separate engagement.</t>
        </is>
      </c>
      <c r="D17" s="47" t="inlineStr">
        <is>
          <t>Architecture Decision</t>
        </is>
      </c>
    </row>
    <row r="18" ht="40" customHeight="1">
      <c r="A18" s="26" t="inlineStr">
        <is>
          <t>2</t>
        </is>
      </c>
      <c r="B18" s="34" t="inlineStr">
        <is>
          <t>Mobile application (iOS / Android)</t>
        </is>
      </c>
      <c r="C18" s="33" t="inlineStr">
        <is>
          <t>SRS specifies Web Dashboard only (NFR-07). Mobile not mentioned.</t>
        </is>
      </c>
      <c r="D18" s="26" t="inlineStr">
        <is>
          <t>NFR-07</t>
        </is>
      </c>
    </row>
    <row r="19" ht="40" customHeight="1">
      <c r="A19" s="47" t="inlineStr">
        <is>
          <t>3</t>
        </is>
      </c>
      <c r="B19" s="48" t="inlineStr">
        <is>
          <t>Delta Analysis (v1 vs v2 comparison)</t>
        </is>
      </c>
      <c r="C19" s="46" t="inlineStr">
        <is>
          <t>FR-06 identified as a Gap — not implemented in current sprint scope.</t>
        </is>
      </c>
      <c r="D19" s="47" t="inlineStr">
        <is>
          <t>GAP-04</t>
        </is>
      </c>
    </row>
    <row r="20" ht="40" customHeight="1">
      <c r="A20" s="26" t="inlineStr">
        <is>
          <t>4</t>
        </is>
      </c>
      <c r="B20" s="34" t="inlineStr">
        <is>
          <t>Word (.docx) export for Clarifications</t>
        </is>
      </c>
      <c r="C20" s="33" t="inlineStr">
        <is>
          <t>Export format not implemented. Identified as a gap.</t>
        </is>
      </c>
      <c r="D20" s="26" t="inlineStr">
        <is>
          <t>GAP-03</t>
        </is>
      </c>
    </row>
    <row r="21" ht="40" customHeight="1">
      <c r="A21" s="47" t="inlineStr">
        <is>
          <t>5</t>
        </is>
      </c>
      <c r="B21" s="48" t="inlineStr">
        <is>
          <t>Historical Learning calibration data</t>
        </is>
      </c>
      <c r="C21" s="46" t="inlineStr">
        <is>
          <t>No historical project database exists at MVP stage (FR-12 cold-start risk).</t>
        </is>
      </c>
      <c r="D21" s="47" t="inlineStr">
        <is>
          <t>RSK-03</t>
        </is>
      </c>
    </row>
    <row r="22" ht="40" customHeight="1">
      <c r="A22" s="26" t="inlineStr">
        <is>
          <t>6</t>
        </is>
      </c>
      <c r="B22" s="34" t="inlineStr">
        <is>
          <t>Real-time WebSocket notifications</t>
        </is>
      </c>
      <c r="C22" s="33" t="inlineStr">
        <is>
          <t>Current polling mechanism sufficient for MVP. WebSocket is a post-MVP enhancement.</t>
        </is>
      </c>
      <c r="D22" s="26" t="inlineStr">
        <is>
          <t>SUG-01</t>
        </is>
      </c>
    </row>
    <row r="23" ht="40" customHeight="1">
      <c r="A23" s="47" t="inlineStr">
        <is>
          <t>7</t>
        </is>
      </c>
      <c r="B23" s="48" t="inlineStr">
        <is>
          <t>Multi-language UI (i18n)</t>
        </is>
      </c>
      <c r="C23" s="46" t="inlineStr">
        <is>
          <t>UI internationalization not specified in SRS.</t>
        </is>
      </c>
      <c r="D23" s="47" t="inlineStr">
        <is>
          <t>Not in SRS</t>
        </is>
      </c>
    </row>
    <row r="24" ht="40" customHeight="1">
      <c r="A24" s="26" t="inlineStr">
        <is>
          <t>8</t>
        </is>
      </c>
      <c r="B24" s="34" t="inlineStr">
        <is>
          <t>Third-party SSO (Google/SAML)</t>
        </is>
      </c>
      <c r="C24" s="33" t="inlineStr">
        <is>
          <t>SRS specifies JWT auth only. SSO integration is a future enhancement.</t>
        </is>
      </c>
      <c r="D24" s="26" t="inlineStr">
        <is>
          <t>Not in SRS</t>
        </is>
      </c>
    </row>
    <row r="25" ht="40" customHeight="1">
      <c r="A25" s="47" t="inlineStr">
        <is>
          <t>9</t>
        </is>
      </c>
      <c r="B25" s="48" t="inlineStr">
        <is>
          <t>Data migration from legacy systems</t>
        </is>
      </c>
      <c r="C25" s="46" t="inlineStr">
        <is>
          <t>No legacy system integration specified. Historical data import is manual CSV.</t>
        </is>
      </c>
      <c r="D25" s="47" t="inlineStr">
        <is>
          <t>RSK-03</t>
        </is>
      </c>
    </row>
  </sheetData>
  <mergeCells count="3">
    <mergeCell ref="A1:D1"/>
    <mergeCell ref="A3:D3"/>
    <mergeCell ref="A15:D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2026-06-21T09:38:10Z</dcterms:created>
  <dcterms:modified xmlns:dcterms="http://purl.org/dc/terms/" xmlns:xsi="http://www.w3.org/2001/XMLSchema-instance" xsi:type="dcterms:W3CDTF">2026-06-21T09:38:10Z</dcterms:modified>
</cp:coreProperties>
</file>